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refreshAllConnections="1" defaultThemeVersion="202300"/>
  <mc:AlternateContent xmlns:mc="http://schemas.openxmlformats.org/markup-compatibility/2006">
    <mc:Choice Requires="x15">
      <x15ac:absPath xmlns:x15ac="http://schemas.microsoft.com/office/spreadsheetml/2010/11/ac" url="C:\Users\240160537\OneDrive - GE Appliances\PQ Experiment\"/>
    </mc:Choice>
  </mc:AlternateContent>
  <xr:revisionPtr revIDLastSave="0" documentId="13_ncr:1_{EE24C2AD-4E1C-4788-89EE-CFA6900E65F9}" xr6:coauthVersionLast="47" xr6:coauthVersionMax="47" xr10:uidLastSave="{00000000-0000-0000-0000-000000000000}"/>
  <bookViews>
    <workbookView xWindow="-120" yWindow="-120" windowWidth="29040" windowHeight="15720" activeTab="4" xr2:uid="{547E2C16-2B9D-4A8E-9950-3B83A2854855}"/>
  </bookViews>
  <sheets>
    <sheet name="Raw Data" sheetId="1" r:id="rId1"/>
    <sheet name="Clean Statement" sheetId="3" r:id="rId2"/>
    <sheet name="Statements Email List" sheetId="6" r:id="rId3"/>
    <sheet name="Claims" sheetId="5" r:id="rId4"/>
    <sheet name="Instructions" sheetId="4" r:id="rId5"/>
  </sheets>
  <definedNames>
    <definedName name="_xlnm._FilterDatabase" localSheetId="1" hidden="1">'Clean Statement'!$N$1:$Q$1</definedName>
    <definedName name="_xlnm._FilterDatabase" localSheetId="2" hidden="1">'Statements Email List'!$A$1:$E$79</definedName>
    <definedName name="ExternalData_1" localSheetId="1" hidden="1">'Clean Statement'!$A$1:$I$2</definedName>
    <definedName name="ExternalData_2" localSheetId="3" hidden="1">Claims!$A$1:$F$2</definedName>
    <definedName name="_xlnm.Print_Area" localSheetId="4">Instructions!$A$1:$A$105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M2" i="3" l="1"/>
  <c r="M3" i="3"/>
  <c r="L3" i="3" a="1"/>
  <c r="L3" i="3" s="1"/>
  <c r="L11" i="3" l="1" a="1"/>
  <c r="L11" i="3" s="1"/>
  <c r="L10" i="3" l="1" a="1"/>
  <c r="L10" i="3" s="1"/>
  <c r="L9" i="3" a="1"/>
  <c r="L9" i="3" s="1"/>
  <c r="L5" i="3"/>
  <c r="L4" i="3" a="1"/>
  <c r="L4" i="3" s="1"/>
  <c r="I4" i="5"/>
  <c r="I3" i="5"/>
  <c r="I5" i="5" l="1"/>
  <c r="L6" i="3"/>
  <c r="L12"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5E44194-1665-46AC-9AF1-4FF25C937758}" keepAlive="1" name="Query - Query1" description="Connection to the 'Query1' query in the workbook." type="5" refreshedVersion="8" saveData="1">
    <dbPr connection="Provider=Microsoft.Mashup.OleDb.1;Data Source=$Workbook$;Location=Query1;Extended Properties=&quot;&quot;" command="SELECT * FROM [Query1]"/>
  </connection>
  <connection id="2" xr16:uid="{EA1DE4E9-A474-4DDE-BA82-19AD9C5B071E}" keepAlive="1" name="Query - Table1 (2)" description="Connection to the 'Table1 (2)' query in the workbook." type="5" refreshedVersion="8" background="1" saveData="1">
    <dbPr connection="Provider=Microsoft.Mashup.OleDb.1;Data Source=$Workbook$;Location=&quot;Table1 (2)&quot;;Extended Properties=&quot;&quot;" command="SELECT * FROM [Table1 (2)]"/>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<sst xmlns="http://schemas.openxmlformats.org/spreadsheetml/2006/main" count="133" uniqueCount="131">
  <si>
    <t>Document Type</t>
  </si>
  <si>
    <t>Document Number</t>
  </si>
  <si>
    <t>Document Date</t>
  </si>
  <si>
    <t>Due Date</t>
  </si>
  <si>
    <t>Amount Due</t>
  </si>
  <si>
    <t>Original Amount</t>
  </si>
  <si>
    <t>Claim Number</t>
  </si>
  <si>
    <t>Claim Amount</t>
  </si>
  <si>
    <t>Claim Reason</t>
  </si>
  <si>
    <t>Dispute Amount</t>
  </si>
  <si>
    <t>Payment Terms</t>
  </si>
  <si>
    <t>Customer Reason</t>
  </si>
  <si>
    <t>Customer Reference</t>
  </si>
  <si>
    <t>Billing Number</t>
  </si>
  <si>
    <t>Discount Amount</t>
  </si>
  <si>
    <t>Days Late</t>
  </si>
  <si>
    <t>Purchase Order</t>
  </si>
  <si>
    <t>Bill of Lading</t>
  </si>
  <si>
    <t>Currency</t>
  </si>
  <si>
    <t>Exchange Rate</t>
  </si>
  <si>
    <t>Operating Unit</t>
  </si>
  <si>
    <t>Total Credits</t>
  </si>
  <si>
    <t>Net Balance</t>
  </si>
  <si>
    <t>Past Due</t>
  </si>
  <si>
    <t>Due thru EOM</t>
  </si>
  <si>
    <t>Due by 10th</t>
  </si>
  <si>
    <t>Due by 20th</t>
  </si>
  <si>
    <t>Due by EOM</t>
  </si>
  <si>
    <t>Monthly Summary</t>
  </si>
  <si>
    <t xml:space="preserve">Payment Schedule </t>
  </si>
  <si>
    <t>This template automates the cleanup and formatting of monthly customer account statements. Once you paste your raw data and refresh, the template handles column cleanup, currency formatting, color coding, and summary calculations automatically. The only steps you handle manually are pasting the data and saving the finished file.</t>
  </si>
  <si>
    <t>When you open the template, Excel will show a yellow security bar at the top saying Macros have been disabled. You must click Enable Content for the buttons to work. This is a one-time step per session and is completely safe. If you do not see the bar, macros are already enabled and you can proceed normally.</t>
  </si>
  <si>
    <t>After refreshing, your statement will contain the following columns in this order:</t>
  </si>
  <si>
    <t>Two summary boxes sit to the right of your data on the Clean Statement tab and update automatically on every refresh.</t>
  </si>
  <si>
    <t>Monthly Summary:</t>
  </si>
  <si>
    <t>Payment Schedule:</t>
  </si>
  <si>
    <t>Always use the Export Clean Statement button to save. Do not use File &gt; Save As manually from the template.</t>
  </si>
  <si>
    <t>The original template is never affected by exporting. It stays clean and ready for the next account.</t>
  </si>
  <si>
    <t>Always save the template itself as .xltm if you ever need to make changes to it. Never save it as .xlsx.</t>
  </si>
  <si>
    <t>Always include the header row when pasting. If headers are missing the refresh will fail.</t>
  </si>
  <si>
    <t>Always clear old data before pasting a new account. Skipping this can mix two accounts together.</t>
  </si>
  <si>
    <t>Do not manually edit anything on the Clean Statement tab. Any changes will be overwritten the next time you refresh.</t>
  </si>
  <si>
    <t>If the Export button does nothing, you likely missed the Enable Content prompt when opening the file. Close and reopen the template and click Enable Content before using the buttons.</t>
  </si>
  <si>
    <t>AR Statement Template: How to Run and Export</t>
  </si>
  <si>
    <t xml:space="preserve">A. Document Type </t>
  </si>
  <si>
    <t xml:space="preserve">B. Document Number </t>
  </si>
  <si>
    <t xml:space="preserve">C. Document Date </t>
  </si>
  <si>
    <t xml:space="preserve">D. Days Late </t>
  </si>
  <si>
    <t xml:space="preserve">E. Due Date </t>
  </si>
  <si>
    <t xml:space="preserve">F. Amount Due </t>
  </si>
  <si>
    <t xml:space="preserve">G. Original Amount </t>
  </si>
  <si>
    <t xml:space="preserve">H. Customer Reference </t>
  </si>
  <si>
    <t xml:space="preserve">I. Purchase Order </t>
  </si>
  <si>
    <t>Bold text: Invoices where the Due Date falls within the current calendar month.</t>
  </si>
  <si>
    <t>Raw Data : where you paste your exported statement data each time.</t>
  </si>
  <si>
    <t>Clean Statement : where the formatted output appears after refreshing. This is what gets sent to the customer.</t>
  </si>
  <si>
    <t>Due thru EOM : total of all positive invoices due within the current month that are not yet past due.</t>
  </si>
  <si>
    <t>Past Due : total of all invoices with a positive Days Late value.</t>
  </si>
  <si>
    <t>Total Credits : sum of all Credit Memos on the account.</t>
  </si>
  <si>
    <t>Net Balance : Due thru EOM plus Past Due plus Total Credits combined.</t>
  </si>
  <si>
    <t>Due by 10th : invoices due between the 1st and 10th of the current month.</t>
  </si>
  <si>
    <t>Due by 20th : invoices due between the 11th and 20th of the current month.</t>
  </si>
  <si>
    <t>Due by EOM : invoices due between the 21st and last day of the current month.</t>
  </si>
  <si>
    <t>Total Due : sum of all three payment run buckets.</t>
  </si>
  <si>
    <t>Double-clicking opens a fresh copy. Right-clicking and opening edits the original : avoid this unless you intend to modify the template.</t>
  </si>
  <si>
    <t>1. Open the template by double-clicking the file. Excel will open a fresh unsaved copy automatically. Do not right-click and open : that edits the original template.</t>
  </si>
  <si>
    <t>2. Click Enable Content in the yellow bar at the top if it appears.</t>
  </si>
  <si>
    <t>3. Click the Clear Raw Data button on the Clean Statement tab to wipe any leftover data from the previous account.</t>
  </si>
  <si>
    <t>5. Go to the Data tab in the Excel ribbon and click Refresh All. Wait a few seconds for the data to load.</t>
  </si>
  <si>
    <t>6. Click the Clean Statement tab and review the formatted output. Check that the color coding and summary totals look correct before sending.</t>
  </si>
  <si>
    <t>8. Attach the saved .xlsx file to your email and send to the customer.</t>
  </si>
  <si>
    <t>Red text: Credit Memo rows. These are credits on the account (Should always be -)</t>
  </si>
  <si>
    <t>Yellow highlight: Past due invoices</t>
  </si>
  <si>
    <t>Claims Summary</t>
  </si>
  <si>
    <t>Claims Owed</t>
  </si>
  <si>
    <t>Claims Credits</t>
  </si>
  <si>
    <t>Net Total</t>
  </si>
  <si>
    <t>Customer Name</t>
  </si>
  <si>
    <t>Email</t>
  </si>
  <si>
    <t>Payables or POC Name</t>
  </si>
  <si>
    <t>Do not manually edit anything on the Claims tab. Like the Clean Statement, any manual changes will be overwritten the next time you refresh.</t>
  </si>
  <si>
    <t>The exported file saves as a standard .xlsx with no macros or connections attached. It includes both the Clean Statement and Claims tabs as separate sheets — safe to send directly to the customer.</t>
  </si>
  <si>
    <t>Net Total : Claims Owed plus Claims Credits combined.</t>
  </si>
  <si>
    <t>Claims Credits : total of all negative claim amounts (credits on claims).</t>
  </si>
  <si>
    <t>Claims Owed : total of all positive claim amounts (money owed to us).</t>
  </si>
  <si>
    <t>Claims Summary box on the right side of the Claims tab:</t>
  </si>
  <si>
    <t>Claims tab columns: Document Type, Document Number, Document Date, Due Date, Amount Due, Claim Number, Customer Reference.</t>
  </si>
  <si>
    <t>The Claims tab displays all Claim Investigation rows from your raw data separately from the main statement. This keeps claims visible to the customer without mixing them into the invoice and credit summary.</t>
  </si>
  <si>
    <t>Understanding the Claims Tab</t>
  </si>
  <si>
    <t>7. Click the Export Clean Statement button. A prompt will ask you to enter the account number. Type it in and click OK. A Save As dialog will open with the filename already pre-filled as Account Number - Month Year Aging. Confirm the save location and click Save. Note: the exported file will include both the Clean Statement and Claims tabs as separate sheets in one file.</t>
  </si>
  <si>
    <t>4. Click the Raw Data tab. Export your customer's statement from the system                  (Has to be Open Lines Listing) and paste it starting at cell A1. Make sure the header row is included : the template needs column names in row 1 to work correctly.</t>
  </si>
  <si>
    <t>Claims : displays all Claim Investigation rows from the statement separately. This tab exports together with the Clean Statement in the same file sent to the customer.</t>
  </si>
  <si>
    <t>Last Updated: April 2026  |  Version 1.0</t>
  </si>
  <si>
    <t>1. Overview</t>
  </si>
  <si>
    <t>2. Template Tabs</t>
  </si>
  <si>
    <t>3. First-Time Setup : Enable Macros</t>
  </si>
  <si>
    <t>4. Step-by-Step Instructions</t>
  </si>
  <si>
    <t>5. Clean Statement Tab:</t>
  </si>
  <si>
    <t>6. Legend:</t>
  </si>
  <si>
    <t>7. Summary Boxes</t>
  </si>
  <si>
    <t>8. Saving and Sending</t>
  </si>
  <si>
    <t>9. Common Mistakes to Avoid</t>
  </si>
  <si>
    <t>Formula &amp; Automation Reference</t>
  </si>
  <si>
    <t>This section explains the technical components behind the template. You do not need to understand these to use it, but this context is helpful if questions come up.</t>
  </si>
  <si>
    <t>What is VBA?</t>
  </si>
  <si>
    <t>VBA stands for Visual Basic for Applications — a programming language built into Microsoft Office that automates actions you would otherwise do manually. In this template, VBA powers two buttons:</t>
  </si>
  <si>
    <t>•  Clear Raw Data — tells Excel to go to the Raw Data tab and delete everything from row 2 down in one click.</t>
  </si>
  <si>
    <t>•  Export Clean Statement — copies the Clean Statement and Claims tabs into a new workbook, pastes as values with formatting, prompts for an account number, builds the filename as Account Number - Month Year Aging, and saves as .xlsx.</t>
  </si>
  <si>
    <t>The template requires .xltm format because VBA is a small program running inside Excel. Microsoft requires you to click Enable Content when opening to allow it to run.</t>
  </si>
  <si>
    <t>Why do formulas update automatically each month?</t>
  </si>
  <si>
    <t>All date-based formulas use TODAY() which detects the current date every time the file opens or refreshes. This means you never update formulas manually — April statements calculate April totals, May statements calculate May totals, all automatically.</t>
  </si>
  <si>
    <t>How SUMPRODUCT works</t>
  </si>
  <si>
    <t>SUMPRODUCT goes through every row in the data, checks a set of conditions, and adds up only the rows where ALL conditions are true. It is more flexible than a basic SUM because it can check multiple conditions at once. The formulas use table column references like Table[Amount Due] instead of fixed cell addresses so they always cover the right rows and never shift when new data loads.</t>
  </si>
  <si>
    <t xml:space="preserve">  Due thru EOM</t>
  </si>
  <si>
    <t>Adds up positive invoices where the due date is in the current month/year AND Days Late is zero or negative (not yet past due). This prevents overdue invoices from being double-counted in both Due thru EOM and Past Due.</t>
  </si>
  <si>
    <t xml:space="preserve">  Past Due</t>
  </si>
  <si>
    <t>Adds up positive invoice amounts where Days Late is greater than zero. Credits are automatically excluded because their negative amounts fail the positive amount condition.</t>
  </si>
  <si>
    <t xml:space="preserve">  Total Credits</t>
  </si>
  <si>
    <t>Adds up all negative amounts in Amount Due. Credits always come through as negatives so this cleanly captures all of them. Uses SUMIF because only one condition needs to be checked.</t>
  </si>
  <si>
    <t xml:space="preserve">  Net Balance</t>
  </si>
  <si>
    <t>Adds Due thru EOM + Past Due + Total Credits. Because Total Credits is always negative it automatically reduces the total — no special logic needed.</t>
  </si>
  <si>
    <t xml:space="preserve">  Due by 10th / 20th / EOM</t>
  </si>
  <si>
    <t>Same logic as Due thru EOM but filters by day number — days 1–10, 11–20, and 21–last day respectively. Total Due is the sum of all three buckets.</t>
  </si>
  <si>
    <t xml:space="preserve">  Claims Summary</t>
  </si>
  <si>
    <t>Uses SUMIF to total positive amounts (Claims Owed) and negative amounts (Claims Credits) on the Claims tab independently. These never affect the Clean Statement summary totals.</t>
  </si>
  <si>
    <r>
      <t xml:space="preserve">Customer </t>
    </r>
    <r>
      <rPr>
        <b/>
        <i/>
        <sz val="11"/>
        <rFont val="Aptos Narrow"/>
        <family val="2"/>
        <scheme val="minor"/>
      </rPr>
      <t>#</t>
    </r>
  </si>
  <si>
    <t>Subject Copy/Paste</t>
  </si>
  <si>
    <t>Due for Month</t>
  </si>
  <si>
    <t>Customer #</t>
  </si>
  <si>
    <t>Payables / POC Name</t>
  </si>
  <si>
    <t>Copy/Paste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</si>
</sst>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27" x14ac:knownFonts="1">
    <font>
      <sz val="11"/>
      <color theme="1"/>
      <name val="Aptos Narrow"/>
      <family val="2"/>
      <scheme val="minor"/>
    </font>
    <font>
      <b/>
      <sz val="11"/>
      <color theme="1"/>
      <name val="Aptos Narrow"/>
      <family val="2"/>
      <scheme val="minor"/>
    </font>
    <font>
      <i/>
      <sz val="11"/>
      <color rgb="FF7F7F7F"/>
      <name val="Aptos Narrow"/>
      <family val="2"/>
      <scheme val="minor"/>
    </font>
    <font>
      <i/>
      <sz val="11"/>
      <color rgb="FFFF0000"/>
      <name val="Aptos Narrow"/>
      <family val="2"/>
      <scheme val="minor"/>
    </font>
    <font>
      <b/>
      <sz val="11"/>
      <name val="Aptos Narrow"/>
      <family val="2"/>
      <scheme val="minor"/>
    </font>
    <font>
      <sz val="11"/>
      <name val="Aptos Narrow"/>
      <family val="2"/>
      <scheme val="minor"/>
    </font>
    <font>
      <i/>
      <sz val="11"/>
      <name val="Aptos Narrow"/>
      <family val="2"/>
      <scheme val="minor"/>
    </font>
    <font>
      <b/>
      <sz val="15"/>
      <color theme="3"/>
      <name val="Aptos Narrow"/>
      <family val="2"/>
      <scheme val="minor"/>
    </font>
    <font>
      <b/>
      <sz val="13"/>
      <color theme="3"/>
      <name val="Aptos Narrow"/>
      <family val="2"/>
      <scheme val="minor"/>
    </font>
    <font>
      <sz val="12"/>
      <color theme="1"/>
      <name val="Times New Roman"/>
      <family val="1"/>
    </font>
    <font>
      <b/>
      <sz val="12"/>
      <color theme="3"/>
      <name val="Times New Roman"/>
      <family val="1"/>
    </font>
    <font>
      <sz val="12"/>
      <color rgb="FF444444"/>
      <name val="Times New Roman"/>
      <family val="1"/>
    </font>
    <font>
      <sz val="12"/>
      <color rgb="FFFF0000"/>
      <name val="Times New Roman"/>
      <family val="1"/>
    </font>
    <font>
      <b/>
      <sz val="12"/>
      <color rgb="FF444444"/>
      <name val="Times New Roman"/>
      <family val="1"/>
    </font>
    <font>
      <i/>
      <sz val="11"/>
      <color theme="1"/>
      <name val="Aptos Narrow"/>
      <family val="2"/>
      <scheme val="minor"/>
    </font>
    <font>
      <b/>
      <i/>
      <sz val="11"/>
      <color theme="1"/>
      <name val="Aptos Narrow"/>
      <family val="2"/>
      <scheme val="minor"/>
    </font>
    <font>
      <b/>
      <i/>
      <sz val="11"/>
      <color rgb="FFFF0000"/>
      <name val="Aptos Narrow"/>
      <family val="2"/>
      <scheme val="minor"/>
    </font>
    <font>
      <b/>
      <sz val="11"/>
      <color theme="3"/>
      <name val="Aptos Narrow"/>
      <family val="2"/>
      <scheme val="minor"/>
    </font>
    <font>
      <b/>
      <sz val="15"/>
      <color theme="3"/>
      <name val="Times New Roman"/>
      <family val="1"/>
    </font>
    <font>
      <sz val="10"/>
      <name val="Times New Roman"/>
      <family val="1"/>
    </font>
    <font>
      <sz val="12"/>
      <name val="Times New Roman"/>
      <family val="1"/>
    </font>
    <font>
      <b/>
      <sz val="13"/>
      <color theme="3"/>
      <name val="Times New Roman"/>
      <family val="1"/>
    </font>
    <font>
      <b/>
      <sz val="11"/>
      <color theme="1"/>
      <name val="Times New Roman"/>
      <family val="1"/>
    </font>
    <font>
      <u/>
      <sz val="11"/>
      <color theme="10"/>
      <name val="Aptos Narrow"/>
      <family val="2"/>
      <scheme val="minor"/>
    </font>
    <font>
      <b/>
      <i/>
      <sz val="11"/>
      <name val="Aptos Narrow"/>
      <family val="2"/>
      <scheme val="minor"/>
    </font>
    <font>
      <u/>
      <sz val="11"/>
      <name val="Aptos Narrow"/>
      <family val="2"/>
      <scheme val="minor"/>
    </font>
    <font>
      <sz val="8"/>
      <name val="Aptos Narrow"/>
      <family val="2"/>
      <scheme val="minor"/>
    </font>
  </fonts>
  <fills count="6">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7" tint="0.59999389629810485"/>
        <bgColor indexed="64"/>
      </patternFill>
    </fill>
  </fills>
  <borders count="24">
    <border>
      <left/>
      <right/>
      <top/>
      <bottom/>
      <diagonal/>
    </border>
    <border>
      <left style="thin">
        <color rgb="FFB2B2B2"/>
      </left>
      <right style="thin">
        <color rgb="FFB2B2B2"/>
      </right>
      <top style="thin">
        <color rgb="FFB2B2B2"/>
      </top>
      <bottom style="thin">
        <color rgb="FFB2B2B2"/>
      </bottom>
      <diagonal/>
    </border>
    <border>
      <left style="thin">
        <color rgb="FFB2B2B2"/>
      </left>
      <right/>
      <top style="thin">
        <color rgb="FFB2B2B2"/>
      </top>
      <bottom style="thin">
        <color rgb="FFB2B2B2"/>
      </bottom>
      <diagonal/>
    </border>
    <border>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
      <left style="thick">
        <color theme="7" tint="0.39994506668294322"/>
      </left>
      <right/>
      <top/>
      <bottom/>
      <diagonal/>
    </border>
    <border>
      <left style="thin">
        <color indexed="64"/>
      </left>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style="thick">
        <color theme="4" tint="0.499984740745262"/>
      </bottom>
      <diagonal/>
    </border>
    <border>
      <left style="thin">
        <color indexed="64"/>
      </left>
      <right/>
      <top style="thin">
        <color indexed="64"/>
      </top>
      <bottom/>
      <diagonal/>
    </border>
    <border>
      <left style="medium">
        <color indexed="64"/>
      </left>
      <right/>
      <top style="medium">
        <color indexed="64"/>
      </top>
      <bottom style="thin">
        <color rgb="FFB2B2B2"/>
      </bottom>
      <diagonal/>
    </border>
    <border>
      <left/>
      <right style="medium">
        <color indexed="64"/>
      </right>
      <top style="medium">
        <color indexed="64"/>
      </top>
      <bottom style="thin">
        <color rgb="FFB2B2B2"/>
      </bottom>
      <diagonal/>
    </border>
    <border>
      <left/>
      <right style="medium">
        <color indexed="64"/>
      </right>
      <top/>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right/>
      <top/>
      <bottom style="medium">
        <color theme="4" tint="0.39997558519241921"/>
      </bottom>
      <diagonal/>
    </border>
    <border>
      <left/>
      <right/>
      <top style="thin">
        <color theme="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s>
  <cellStyleXfs count="7">
    <xf numFmtId="0" fontId="0" fillId="0" borderId="0"/>
    <xf numFmtId="0" fontId="2" fillId="0" borderId="0" applyNumberFormat="0" applyFill="0" applyBorder="0" applyAlignment="0" applyProtection="0"/>
    <xf numFmtId="0" fontId="7" fillId="0" borderId="5" applyNumberFormat="0" applyFill="0" applyAlignment="0" applyProtection="0"/>
    <xf numFmtId="0" fontId="8" fillId="0" borderId="6" applyNumberFormat="0" applyFill="0" applyAlignment="0" applyProtection="0"/>
    <xf numFmtId="0" fontId="1" fillId="0" borderId="7" applyNumberFormat="0" applyFill="0" applyAlignment="0" applyProtection="0"/>
    <xf numFmtId="0" fontId="17" fillId="0" borderId="20" applyNumberFormat="0" applyFill="0" applyAlignment="0" applyProtection="0"/>
    <xf numFmtId="0" fontId="23" fillId="0" borderId="0" applyNumberFormat="0" applyFill="0" applyBorder="0" applyAlignment="0" applyProtection="0"/>
  </cellStyleXfs>
  <cellXfs count="82">
    <xf numFmtId="0" fontId="0" fillId="0" borderId="0" xfId="0"/>
    <xf numFmtId="15" fontId="0" fillId="0" borderId="0" xfId="0" applyNumberFormat="1"/>
    <xf numFmtId="4" fontId="0" fillId="0" borderId="0" xfId="0" applyNumberFormat="1"/>
    <xf numFmtId="0" fontId="1" fillId="0" borderId="0" xfId="0" applyFont="1"/>
    <xf numFmtId="14" fontId="0" fillId="0" borderId="4" xfId="0" applyNumberFormat="1" applyBorder="1"/>
    <xf numFmtId="0" fontId="0" fillId="0" borderId="4" xfId="0" applyBorder="1"/>
    <xf numFmtId="44" fontId="0" fillId="0" borderId="4" xfId="0" applyNumberFormat="1" applyBorder="1"/>
    <xf numFmtId="0" fontId="9" fillId="0" borderId="0" xfId="0" applyFont="1"/>
    <xf numFmtId="0" fontId="10" fillId="2" borderId="6" xfId="3" applyFont="1" applyFill="1" applyAlignment="1">
      <alignment vertical="top" wrapText="1"/>
    </xf>
    <xf numFmtId="0" fontId="11" fillId="2" borderId="0" xfId="0" applyFont="1" applyFill="1" applyAlignment="1">
      <alignment vertical="top" wrapText="1"/>
    </xf>
    <xf numFmtId="0" fontId="10" fillId="3" borderId="0" xfId="3" applyFont="1" applyFill="1" applyBorder="1" applyAlignment="1">
      <alignment vertical="top" wrapText="1"/>
    </xf>
    <xf numFmtId="0" fontId="11" fillId="2" borderId="10" xfId="0" applyFont="1" applyFill="1" applyBorder="1" applyAlignment="1">
      <alignment vertical="top" wrapText="1"/>
    </xf>
    <xf numFmtId="0" fontId="12" fillId="0" borderId="11" xfId="0" applyFont="1" applyBorder="1" applyAlignment="1">
      <alignment vertical="top"/>
    </xf>
    <xf numFmtId="0" fontId="11" fillId="3" borderId="11" xfId="0" applyFont="1" applyFill="1" applyBorder="1" applyAlignment="1">
      <alignment vertical="top"/>
    </xf>
    <xf numFmtId="0" fontId="13" fillId="0" borderId="12" xfId="0" applyFont="1" applyBorder="1" applyAlignment="1">
      <alignment vertical="top"/>
    </xf>
    <xf numFmtId="0" fontId="10" fillId="2" borderId="13" xfId="3" applyFont="1" applyFill="1" applyBorder="1" applyAlignment="1">
      <alignment vertical="top" wrapText="1"/>
    </xf>
    <xf numFmtId="0" fontId="11" fillId="2" borderId="11" xfId="0" applyFont="1" applyFill="1" applyBorder="1" applyAlignment="1">
      <alignment vertical="top" wrapText="1"/>
    </xf>
    <xf numFmtId="0" fontId="11" fillId="2" borderId="12" xfId="0" applyFont="1" applyFill="1" applyBorder="1" applyAlignment="1">
      <alignment vertical="top" wrapText="1"/>
    </xf>
    <xf numFmtId="0" fontId="11" fillId="3" borderId="10" xfId="0" applyFont="1" applyFill="1" applyBorder="1" applyAlignment="1">
      <alignment vertical="top" wrapText="1"/>
    </xf>
    <xf numFmtId="0" fontId="0" fillId="0" borderId="9" xfId="0" applyBorder="1"/>
    <xf numFmtId="0" fontId="13" fillId="2" borderId="10" xfId="0" applyFont="1" applyFill="1" applyBorder="1" applyAlignment="1">
      <alignment vertical="top" wrapText="1"/>
    </xf>
    <xf numFmtId="0" fontId="13" fillId="2" borderId="14" xfId="0" applyFont="1" applyFill="1" applyBorder="1" applyAlignment="1">
      <alignment vertical="top" wrapText="1"/>
    </xf>
    <xf numFmtId="0" fontId="11" fillId="3" borderId="14" xfId="0" applyFont="1" applyFill="1" applyBorder="1" applyAlignment="1">
      <alignment vertical="top" wrapText="1"/>
    </xf>
    <xf numFmtId="0" fontId="14" fillId="2" borderId="11" xfId="0" applyFont="1" applyFill="1" applyBorder="1"/>
    <xf numFmtId="0" fontId="14" fillId="2" borderId="12" xfId="0" applyFont="1" applyFill="1" applyBorder="1"/>
    <xf numFmtId="44" fontId="15" fillId="2" borderId="17" xfId="0" applyNumberFormat="1" applyFont="1" applyFill="1" applyBorder="1"/>
    <xf numFmtId="44" fontId="16" fillId="2" borderId="17" xfId="0" applyNumberFormat="1" applyFont="1" applyFill="1" applyBorder="1"/>
    <xf numFmtId="44" fontId="15" fillId="2" borderId="18" xfId="0" applyNumberFormat="1" applyFont="1" applyFill="1" applyBorder="1"/>
    <xf numFmtId="12" fontId="0" fillId="0" borderId="4" xfId="0" applyNumberFormat="1" applyBorder="1"/>
    <xf numFmtId="0" fontId="0" fillId="0" borderId="4" xfId="0" applyBorder="1" applyAlignment="1">
      <alignment horizontal="right"/>
    </xf>
    <xf numFmtId="0" fontId="0" fillId="0" borderId="4" xfId="0" applyBorder="1" applyAlignment="1">
      <alignment horizontal="left"/>
    </xf>
    <xf numFmtId="44" fontId="1" fillId="0" borderId="0" xfId="0" applyNumberFormat="1" applyFont="1"/>
    <xf numFmtId="14" fontId="1" fillId="0" borderId="0" xfId="0" applyNumberFormat="1" applyFont="1"/>
    <xf numFmtId="0" fontId="0" fillId="0" borderId="19" xfId="0" applyBorder="1"/>
    <xf numFmtId="12" fontId="0" fillId="0" borderId="19" xfId="0" applyNumberFormat="1" applyBorder="1"/>
    <xf numFmtId="14" fontId="0" fillId="0" borderId="19" xfId="0" applyNumberFormat="1" applyBorder="1"/>
    <xf numFmtId="44" fontId="0" fillId="0" borderId="19" xfId="0" applyNumberFormat="1" applyBorder="1"/>
    <xf numFmtId="0" fontId="0" fillId="0" borderId="19" xfId="0" applyBorder="1" applyAlignment="1">
      <alignment horizontal="right"/>
    </xf>
    <xf numFmtId="0" fontId="20" fillId="2" borderId="14" xfId="0" applyFont="1" applyFill="1" applyBorder="1" applyAlignment="1">
      <alignment wrapText="1"/>
    </xf>
    <xf numFmtId="0" fontId="20" fillId="2" borderId="0" xfId="0" applyFont="1" applyFill="1" applyAlignment="1">
      <alignment wrapText="1"/>
    </xf>
    <xf numFmtId="0" fontId="21" fillId="0" borderId="6" xfId="3" applyFont="1" applyAlignment="1">
      <alignment vertical="top" wrapText="1"/>
    </xf>
    <xf numFmtId="0" fontId="22" fillId="2" borderId="7" xfId="4" applyFont="1" applyFill="1" applyAlignment="1">
      <alignment vertical="top" wrapText="1"/>
    </xf>
    <xf numFmtId="0" fontId="20" fillId="3" borderId="8" xfId="0" applyFont="1" applyFill="1" applyBorder="1" applyAlignment="1">
      <alignment wrapText="1"/>
    </xf>
    <xf numFmtId="0" fontId="8" fillId="2" borderId="6" xfId="3" applyFill="1" applyAlignment="1">
      <alignment vertical="top" wrapText="1"/>
    </xf>
    <xf numFmtId="0" fontId="17" fillId="2" borderId="20" xfId="5" applyFill="1" applyAlignment="1">
      <alignment vertical="top" wrapText="1"/>
    </xf>
    <xf numFmtId="0" fontId="10" fillId="0" borderId="0" xfId="3" applyFont="1" applyFill="1" applyBorder="1" applyAlignment="1">
      <alignment vertical="top"/>
    </xf>
    <xf numFmtId="0" fontId="22" fillId="2" borderId="21" xfId="4" applyFont="1" applyFill="1" applyBorder="1" applyAlignment="1">
      <alignment vertical="top" wrapText="1"/>
    </xf>
    <xf numFmtId="0" fontId="9" fillId="5" borderId="8" xfId="0" applyFont="1" applyFill="1" applyBorder="1" applyAlignment="1">
      <alignment vertical="top" wrapText="1"/>
    </xf>
    <xf numFmtId="0" fontId="9" fillId="5" borderId="0" xfId="0" applyFont="1" applyFill="1"/>
    <xf numFmtId="0" fontId="20" fillId="5" borderId="8" xfId="0" applyFont="1" applyFill="1" applyBorder="1" applyAlignment="1">
      <alignment wrapText="1"/>
    </xf>
    <xf numFmtId="0" fontId="9" fillId="5" borderId="0" xfId="0" applyFont="1" applyFill="1" applyAlignment="1">
      <alignment vertical="top" wrapText="1"/>
    </xf>
    <xf numFmtId="0" fontId="19" fillId="5" borderId="22" xfId="0" applyFont="1" applyFill="1" applyBorder="1" applyAlignment="1">
      <alignment wrapText="1"/>
    </xf>
    <xf numFmtId="0" fontId="18" fillId="4" borderId="8" xfId="2" applyFont="1" applyFill="1" applyBorder="1" applyAlignment="1">
      <alignment vertical="top" wrapText="1"/>
    </xf>
    <xf numFmtId="0" fontId="10" fillId="5" borderId="8" xfId="3" applyFont="1" applyFill="1" applyBorder="1" applyAlignment="1">
      <alignment vertical="top" wrapText="1"/>
    </xf>
    <xf numFmtId="0" fontId="4" fillId="0" borderId="23" xfId="0" applyFont="1" applyBorder="1"/>
    <xf numFmtId="0" fontId="4" fillId="0" borderId="23" xfId="0" applyFont="1" applyBorder="1" applyAlignment="1">
      <alignment horizontal="left"/>
    </xf>
    <xf numFmtId="0" fontId="4" fillId="0" borderId="0" xfId="0" applyFont="1"/>
    <xf numFmtId="0" fontId="25" fillId="0" borderId="4" xfId="6" applyFont="1" applyFill="1" applyBorder="1"/>
    <xf numFmtId="0" fontId="5" fillId="0" borderId="0" xfId="0" applyFont="1"/>
    <xf numFmtId="0" fontId="6" fillId="0" borderId="1" xfId="1" applyFont="1" applyFill="1" applyBorder="1"/>
    <xf numFmtId="44" fontId="6" fillId="0" borderId="1" xfId="1" applyNumberFormat="1" applyFont="1" applyFill="1" applyBorder="1"/>
    <xf numFmtId="0" fontId="0" fillId="0" borderId="0" xfId="0" applyAlignment="1">
      <alignment horizontal="left"/>
    </xf>
    <xf numFmtId="44" fontId="3" fillId="0" borderId="1" xfId="1" applyNumberFormat="1" applyFont="1" applyFill="1" applyBorder="1"/>
    <xf numFmtId="16" fontId="0" fillId="0" borderId="0" xfId="0" applyNumberFormat="1"/>
    <xf numFmtId="0" fontId="25" fillId="0" borderId="4" xfId="6" applyFont="1" applyFill="1" applyBorder="1" applyAlignment="1">
      <alignment vertical="center" wrapText="1"/>
    </xf>
    <xf numFmtId="0" fontId="25" fillId="0" borderId="23" xfId="6" applyFont="1" applyFill="1" applyBorder="1"/>
    <xf numFmtId="0" fontId="4" fillId="0" borderId="0" xfId="0" applyFont="1" applyAlignment="1">
      <alignment horizontal="center" wrapText="1"/>
    </xf>
    <xf numFmtId="0" fontId="5" fillId="0" borderId="0" xfId="0" applyFont="1" applyAlignment="1">
      <alignment wrapText="1"/>
    </xf>
    <xf numFmtId="0" fontId="5" fillId="0" borderId="0" xfId="0" applyFont="1" applyAlignment="1">
      <alignment horizontal="center" vertical="center" wrapText="1"/>
    </xf>
    <xf numFmtId="0" fontId="5" fillId="0" borderId="4" xfId="0" applyFont="1" applyBorder="1"/>
    <xf numFmtId="0" fontId="5" fillId="0" borderId="4" xfId="0" applyFont="1" applyBorder="1" applyAlignment="1">
      <alignment horizontal="right"/>
    </xf>
    <xf numFmtId="0" fontId="5" fillId="0" borderId="4" xfId="0" applyFont="1" applyBorder="1" applyAlignment="1">
      <alignment horizontal="left"/>
    </xf>
    <xf numFmtId="0" fontId="5" fillId="0" borderId="23" xfId="0" applyFont="1" applyBorder="1"/>
    <xf numFmtId="0" fontId="5" fillId="0" borderId="23" xfId="0" applyFont="1" applyBorder="1" applyAlignment="1">
      <alignment horizontal="right"/>
    </xf>
    <xf numFmtId="0" fontId="5" fillId="0" borderId="23" xfId="0" applyFont="1" applyBorder="1" applyAlignment="1">
      <alignment horizontal="left"/>
    </xf>
    <xf numFmtId="0" fontId="5" fillId="0" borderId="0" xfId="0" applyFont="1" applyAlignment="1">
      <alignment horizontal="right"/>
    </xf>
    <xf numFmtId="0" fontId="5" fillId="0" borderId="0" xfId="0" applyFont="1" applyAlignment="1">
      <alignment horizontal="left"/>
    </xf>
    <xf numFmtId="0" fontId="25" fillId="0" borderId="0" xfId="6" applyFont="1" applyFill="1" applyBorder="1"/>
    <xf numFmtId="0" fontId="6" fillId="0" borderId="2" xfId="1" applyFont="1" applyFill="1" applyBorder="1" applyAlignment="1">
      <alignment horizontal="center"/>
    </xf>
    <xf numFmtId="0" fontId="6" fillId="0" borderId="3" xfId="1" applyFont="1" applyFill="1" applyBorder="1" applyAlignment="1">
      <alignment horizontal="center"/>
    </xf>
    <xf numFmtId="0" fontId="6" fillId="2" borderId="15" xfId="1" applyFont="1" applyFill="1" applyBorder="1" applyAlignment="1">
      <alignment horizontal="center"/>
    </xf>
    <xf numFmtId="0" fontId="6" fillId="2" borderId="16" xfId="1" applyFont="1" applyFill="1" applyBorder="1" applyAlignment="1">
      <alignment horizontal="center"/>
    </xf>
  </cellXfs>
  <cellStyles count="7">
    <cellStyle name="Explanatory Text" xfId="1" builtinId="53"/>
    <cellStyle name="Heading 1" xfId="2" builtinId="16"/>
    <cellStyle name="Heading 2" xfId="3" builtinId="17"/>
    <cellStyle name="Heading 3" xfId="5" builtinId="18"/>
    <cellStyle name="Hyperlink" xfId="6" builtinId="8"/>
    <cellStyle name="Normal" xfId="0" builtinId="0"/>
    <cellStyle name="Total" xfId="4" builtinId="25"/>
  </cellStyles>
  <dxfs count="32">
    <dxf>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border diagonalUp="0" diagonalDown="0">
        <left style="thin">
          <color indexed="64"/>
        </left>
        <right style="thin">
          <color indexed="64"/>
        </right>
        <top/>
        <bottom style="thin">
          <color indexed="64"/>
        </bottom>
        <vertical/>
        <horizontal/>
      </border>
    </dxf>
    <dxf>
      <numFmt numFmtId="34" formatCode="_(&quot;$&quot;* #,##0.00_);_(&quot;$&quot;* \(#,##0.00\);_(&quot;$&quot;* &quot;-&quot;??_);_(@_)"/>
      <border diagonalUp="0" diagonalDown="0">
        <left style="thin">
          <color indexed="64"/>
        </left>
        <right style="thin">
          <color indexed="64"/>
        </right>
        <top/>
        <bottom style="thin">
          <color indexed="64"/>
        </bottom>
        <vertical/>
        <horizontal/>
      </border>
    </dxf>
    <dxf>
      <numFmt numFmtId="19" formatCode="m/d/yyyy"/>
      <border diagonalUp="0" diagonalDown="0">
        <left style="thin">
          <color indexed="64"/>
        </left>
        <right style="thin">
          <color indexed="64"/>
        </right>
        <top/>
        <bottom style="thin">
          <color indexed="64"/>
        </bottom>
        <vertical/>
        <horizontal/>
      </border>
    </dxf>
    <dxf>
      <numFmt numFmtId="17" formatCode="#\ ?/?"/>
      <border diagonalUp="0" diagonalDown="0">
        <left style="thin">
          <color indexed="64"/>
        </left>
        <right style="thin">
          <color indexed="64"/>
        </right>
        <top/>
        <bottom style="thin">
          <color indexed="64"/>
        </bottom>
        <vertical/>
        <horizontal/>
      </border>
    </dxf>
    <dxf>
      <border diagonalUp="0" diagonalDown="0">
        <left style="thin">
          <color indexed="64"/>
        </left>
        <right style="thin">
          <color indexed="64"/>
        </right>
        <top/>
        <bottom style="thin">
          <color indexed="64"/>
        </bottom>
        <vertical/>
        <horizontal/>
      </border>
    </dxf>
    <dxf>
      <border diagonalUp="0" diagonalDown="0">
        <left style="thin">
          <color indexed="64"/>
        </left>
        <right style="thin">
          <color indexed="64"/>
        </right>
        <top/>
        <bottom/>
        <vertical style="thin">
          <color indexed="64"/>
        </vertical>
        <horizontal style="thin">
          <color indexed="64"/>
        </horizontal>
      </border>
    </dxf>
    <dxf>
      <font>
        <b/>
        <i val="0"/>
        <color theme="1"/>
      </font>
    </dxf>
    <dxf>
      <font>
        <b/>
        <i val="0"/>
        <color rgb="FFFF0000"/>
      </font>
    </dxf>
    <dxf>
      <fill>
        <patternFill>
          <bgColor rgb="FFFF0000"/>
        </patternFill>
      </fill>
    </dxf>
    <dxf>
      <fill>
        <patternFill>
          <bgColor theme="9"/>
        </patternFill>
      </fill>
    </dxf>
    <dxf>
      <fill>
        <patternFill patternType="none">
          <fgColor indexed="64"/>
          <bgColor indexed="65"/>
        </patternFill>
      </fill>
    </dxf>
    <dxf>
      <numFmt numFmtId="4" formatCode="#,##0.00"/>
    </dxf>
    <dxf>
      <numFmt numFmtId="4" formatCode="#,##0.00"/>
    </dxf>
    <dxf>
      <numFmt numFmtId="20" formatCode="d\-mmm\-yy"/>
    </dxf>
    <dxf>
      <numFmt numFmtId="20" formatCode="d\-mmm\-yy"/>
    </dxf>
    <dxf>
      <font>
        <b/>
      </font>
    </dxf>
    <dxf>
      <border diagonalUp="0" diagonalDown="0">
        <left style="thin">
          <color indexed="64"/>
        </left>
        <right style="thin">
          <color indexed="64"/>
        </right>
        <top/>
        <bottom style="thin">
          <color indexed="64"/>
        </bottom>
        <vertical/>
        <horizontal/>
      </border>
    </dxf>
    <dxf>
      <border diagonalUp="0" diagonalDown="0">
        <left style="thin">
          <color indexed="64"/>
        </left>
        <right style="thin">
          <color indexed="64"/>
        </right>
        <top/>
        <bottom style="thin">
          <color indexed="64"/>
        </bottom>
        <vertical/>
        <horizontal/>
      </border>
    </dxf>
    <dxf>
      <numFmt numFmtId="34" formatCode="_(&quot;$&quot;* #,##0.00_);_(&quot;$&quot;* \(#,##0.00\);_(&quot;$&quot;* &quot;-&quot;??_);_(@_)"/>
      <border diagonalUp="0" diagonalDown="0">
        <left style="thin">
          <color indexed="64"/>
        </left>
        <right style="thin">
          <color indexed="64"/>
        </right>
        <top/>
        <bottom style="thin">
          <color indexed="64"/>
        </bottom>
        <vertical/>
        <horizontal/>
      </border>
    </dxf>
    <dxf>
      <numFmt numFmtId="34" formatCode="_(&quot;$&quot;* #,##0.00_);_(&quot;$&quot;* \(#,##0.00\);_(&quot;$&quot;* &quot;-&quot;??_);_(@_)"/>
      <border diagonalUp="0" diagonalDown="0">
        <left style="thin">
          <color indexed="64"/>
        </left>
        <right style="thin">
          <color indexed="64"/>
        </right>
        <top/>
        <bottom style="thin">
          <color indexed="64"/>
        </bottom>
        <vertical/>
        <horizontal/>
      </border>
    </dxf>
    <dxf>
      <numFmt numFmtId="19" formatCode="m/d/yyyy"/>
      <border diagonalUp="0" diagonalDown="0">
        <left style="thin">
          <color indexed="64"/>
        </left>
        <right style="thin">
          <color indexed="64"/>
        </right>
        <top/>
        <bottom style="thin">
          <color indexed="64"/>
        </bottom>
        <vertical/>
        <horizontal/>
      </border>
    </dxf>
    <dxf>
      <border diagonalUp="0" diagonalDown="0">
        <left style="thin">
          <color indexed="64"/>
        </left>
        <right style="thin">
          <color indexed="64"/>
        </right>
        <top/>
        <bottom style="thin">
          <color indexed="64"/>
        </bottom>
        <vertical/>
        <horizontal/>
      </border>
    </dxf>
    <dxf>
      <numFmt numFmtId="19" formatCode="m/d/yyyy"/>
      <border diagonalUp="0" diagonalDown="0">
        <left style="thin">
          <color indexed="64"/>
        </left>
        <right style="thin">
          <color indexed="64"/>
        </right>
        <top/>
        <bottom style="thin">
          <color indexed="64"/>
        </bottom>
        <vertical/>
        <horizontal/>
      </border>
    </dxf>
    <dxf>
      <border diagonalUp="0" diagonalDown="0">
        <left style="thin">
          <color indexed="64"/>
        </left>
        <right style="thin">
          <color indexed="64"/>
        </right>
        <top/>
        <bottom style="thin">
          <color indexed="64"/>
        </bottom>
        <vertical/>
        <horizontal/>
      </border>
    </dxf>
    <dxf>
      <border diagonalUp="0" diagonalDown="0">
        <left style="thin">
          <color indexed="64"/>
        </left>
        <right style="thin">
          <color indexed="64"/>
        </right>
        <top/>
        <bottom style="thin">
          <color indexed="64"/>
        </bottom>
        <vertical/>
        <horizontal/>
      </border>
    </dxf>
    <dxf>
      <font>
        <b/>
        <i val="0"/>
        <strike val="0"/>
        <condense val="0"/>
        <extend val="0"/>
        <outline val="0"/>
        <shadow val="0"/>
        <u val="none"/>
        <vertAlign val="baseline"/>
        <sz val="11"/>
        <color theme="1"/>
        <name val="Aptos Narrow"/>
        <family val="2"/>
        <scheme val="minor"/>
      </font>
    </dxf>
    <dxf>
      <font>
        <b/>
        <i val="0"/>
      </font>
    </dxf>
    <dxf>
      <fill>
        <patternFill>
          <bgColor rgb="FFFFFF00"/>
        </patternFill>
      </fill>
    </dxf>
    <dxf>
      <font>
        <color rgb="FFFF0000"/>
      </font>
    </dxf>
    <dxf>
      <fill>
        <patternFill>
          <bgColor rgb="FFC00000"/>
        </patternFill>
      </fill>
    </dxf>
    <dxf>
      <fill>
        <patternFill>
          <bgColor theme="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10</xdr:col>
      <xdr:colOff>89647</xdr:colOff>
      <xdr:row>12</xdr:row>
      <xdr:rowOff>145678</xdr:rowOff>
    </xdr:from>
    <xdr:to>
      <xdr:col>10</xdr:col>
      <xdr:colOff>1389529</xdr:colOff>
      <xdr:row>14</xdr:row>
      <xdr:rowOff>123266</xdr:rowOff>
    </xdr:to>
    <xdr:sp macro="[0]!ExportAndMark" textlink="">
      <xdr:nvSpPr>
        <xdr:cNvPr id="2" name="Rectangle: Rounded Corners 1">
          <a:extLst>
            <a:ext uri="{FF2B5EF4-FFF2-40B4-BE49-F238E27FC236}">
              <a16:creationId xmlns:a16="http://schemas.microsoft.com/office/drawing/2014/main" id="{9B74000F-62C0-AB5B-D790-B7359E6F2C10}"/>
            </a:ext>
          </a:extLst>
        </xdr:cNvPr>
        <xdr:cNvSpPr/>
      </xdr:nvSpPr>
      <xdr:spPr>
        <a:xfrm>
          <a:off x="11239500" y="2431678"/>
          <a:ext cx="1299882" cy="358588"/>
        </a:xfrm>
        <a:prstGeom prst="roundRect">
          <a:avLst/>
        </a:prstGeom>
        <a:ln>
          <a:solidFill>
            <a:sysClr val="windowText" lastClr="000000"/>
          </a:solid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100">
              <a:solidFill>
                <a:schemeClr val="bg1"/>
              </a:solidFill>
            </a:rPr>
            <a:t>Export &amp;</a:t>
          </a:r>
          <a:r>
            <a:rPr lang="en-US" sz="1100" baseline="0">
              <a:solidFill>
                <a:schemeClr val="bg1"/>
              </a:solidFill>
            </a:rPr>
            <a:t> Clear Data</a:t>
          </a:r>
          <a:endParaRPr lang="en-US" sz="1100">
            <a:solidFill>
              <a:schemeClr val="bg1"/>
            </a:solidFill>
          </a:endParaRPr>
        </a:p>
      </xdr:txBody>
    </xdr:sp>
    <xdr:clientData/>
  </xdr:twoCellAnchor>
  <xdr:twoCellAnchor>
    <xdr:from>
      <xdr:col>11</xdr:col>
      <xdr:colOff>190500</xdr:colOff>
      <xdr:row>12</xdr:row>
      <xdr:rowOff>134471</xdr:rowOff>
    </xdr:from>
    <xdr:to>
      <xdr:col>11</xdr:col>
      <xdr:colOff>1490382</xdr:colOff>
      <xdr:row>14</xdr:row>
      <xdr:rowOff>112059</xdr:rowOff>
    </xdr:to>
    <xdr:sp macro="[0]!SortARStatements" textlink="">
      <xdr:nvSpPr>
        <xdr:cNvPr id="3" name="Rectangle: Rounded Corners 2">
          <a:extLst>
            <a:ext uri="{FF2B5EF4-FFF2-40B4-BE49-F238E27FC236}">
              <a16:creationId xmlns:a16="http://schemas.microsoft.com/office/drawing/2014/main" id="{695F5E02-F28D-433F-B0E4-3D6908C3FD3B}"/>
            </a:ext>
          </a:extLst>
        </xdr:cNvPr>
        <xdr:cNvSpPr/>
      </xdr:nvSpPr>
      <xdr:spPr>
        <a:xfrm>
          <a:off x="12785912" y="2420471"/>
          <a:ext cx="1299882" cy="358588"/>
        </a:xfrm>
        <a:prstGeom prst="roundRect">
          <a:avLst/>
        </a:prstGeom>
        <a:ln>
          <a:solidFill>
            <a:sysClr val="windowText" lastClr="000000"/>
          </a:solid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marL="0" indent="0" algn="ctr"/>
          <a:r>
            <a:rPr lang="en-US" sz="1100">
              <a:solidFill>
                <a:schemeClr val="bg1"/>
              </a:solidFill>
              <a:latin typeface="+mn-lt"/>
              <a:ea typeface="+mn-ea"/>
              <a:cs typeface="+mn-cs"/>
            </a:rPr>
            <a:t>Sort Statements</a:t>
          </a:r>
        </a:p>
      </xdr:txBody>
    </xdr:sp>
    <xdr:clientData/>
  </xdr:twoCellAnchor>
  <xdr:twoCellAnchor>
    <xdr:from>
      <xdr:col>11</xdr:col>
      <xdr:colOff>134472</xdr:colOff>
      <xdr:row>15</xdr:row>
      <xdr:rowOff>134470</xdr:rowOff>
    </xdr:from>
    <xdr:to>
      <xdr:col>11</xdr:col>
      <xdr:colOff>1568823</xdr:colOff>
      <xdr:row>17</xdr:row>
      <xdr:rowOff>112059</xdr:rowOff>
    </xdr:to>
    <xdr:sp macro="[0]!ResetStatementStatus" textlink="">
      <xdr:nvSpPr>
        <xdr:cNvPr id="4" name="Rectangle: Rounded Corners 3">
          <a:extLst>
            <a:ext uri="{FF2B5EF4-FFF2-40B4-BE49-F238E27FC236}">
              <a16:creationId xmlns:a16="http://schemas.microsoft.com/office/drawing/2014/main" id="{23EE0959-2D96-4EA2-9A4F-DCEF347DF4E4}"/>
            </a:ext>
          </a:extLst>
        </xdr:cNvPr>
        <xdr:cNvSpPr/>
      </xdr:nvSpPr>
      <xdr:spPr>
        <a:xfrm>
          <a:off x="12729884" y="2991970"/>
          <a:ext cx="1434351" cy="358589"/>
        </a:xfrm>
        <a:prstGeom prst="roundRect">
          <a:avLst/>
        </a:prstGeom>
        <a:ln>
          <a:solidFill>
            <a:sysClr val="windowText" lastClr="000000"/>
          </a:solid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marL="0" indent="0" algn="ctr"/>
          <a:r>
            <a:rPr lang="en-US" sz="1100">
              <a:solidFill>
                <a:schemeClr val="bg1"/>
              </a:solidFill>
              <a:latin typeface="+mn-lt"/>
              <a:ea typeface="+mn-ea"/>
              <a:cs typeface="+mn-cs"/>
            </a:rPr>
            <a:t>Reset Statements</a:t>
          </a:r>
        </a:p>
      </xdr:txBody>
    </xdr:sp>
    <xdr:clientData/>
  </xdr:twoCellAnchor>
  <xdr:twoCellAnchor>
    <xdr:from>
      <xdr:col>10</xdr:col>
      <xdr:colOff>96372</xdr:colOff>
      <xdr:row>15</xdr:row>
      <xdr:rowOff>129989</xdr:rowOff>
    </xdr:from>
    <xdr:to>
      <xdr:col>10</xdr:col>
      <xdr:colOff>1396254</xdr:colOff>
      <xdr:row>17</xdr:row>
      <xdr:rowOff>107577</xdr:rowOff>
    </xdr:to>
    <xdr:sp macro="[0]!NoInvoicesMark" textlink="">
      <xdr:nvSpPr>
        <xdr:cNvPr id="5" name="Rectangle: Rounded Corners 4">
          <a:extLst>
            <a:ext uri="{FF2B5EF4-FFF2-40B4-BE49-F238E27FC236}">
              <a16:creationId xmlns:a16="http://schemas.microsoft.com/office/drawing/2014/main" id="{A8086E09-B514-48CD-B240-1274262CB3D5}"/>
            </a:ext>
          </a:extLst>
        </xdr:cNvPr>
        <xdr:cNvSpPr/>
      </xdr:nvSpPr>
      <xdr:spPr>
        <a:xfrm>
          <a:off x="11246225" y="2987489"/>
          <a:ext cx="1299882" cy="358588"/>
        </a:xfrm>
        <a:prstGeom prst="roundRect">
          <a:avLst/>
        </a:prstGeom>
        <a:ln>
          <a:solidFill>
            <a:sysClr val="windowText" lastClr="000000"/>
          </a:solid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marL="0" indent="0" algn="ctr"/>
          <a:r>
            <a:rPr lang="en-US" sz="1100">
              <a:solidFill>
                <a:schemeClr val="bg1"/>
              </a:solidFill>
              <a:latin typeface="+mn-lt"/>
              <a:ea typeface="+mn-ea"/>
              <a:cs typeface="+mn-cs"/>
            </a:rPr>
            <a:t>No Invoices Due</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F89638A9-3790-441E-A46F-E9BA15D85599}" autoFormatId="16" applyNumberFormats="0" applyBorderFormats="0" applyFontFormats="0" applyPatternFormats="0" applyAlignmentFormats="0" applyWidthHeightFormats="0">
  <queryTableRefresh nextId="10">
    <queryTableFields count="9">
      <queryTableField id="1" name="Document Type" tableColumnId="1"/>
      <queryTableField id="2" name="Document Number" tableColumnId="2"/>
      <queryTableField id="3" name="Document Date" tableColumnId="3"/>
      <queryTableField id="4" name="Days Late" tableColumnId="4"/>
      <queryTableField id="5" name="Due Date" tableColumnId="5"/>
      <queryTableField id="6" name="Amount Due" tableColumnId="6"/>
      <queryTableField id="7" name="Original Amount" tableColumnId="7"/>
      <queryTableField id="8" name="Customer Reference" tableColumnId="8"/>
      <queryTableField id="9" name="Purchase Order"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 xr16:uid="{8D3D4AB9-624D-4E56-81C5-B35CB3F48194}" autoFormatId="16" applyNumberFormats="0" applyBorderFormats="0" applyFontFormats="0" applyPatternFormats="0" applyAlignmentFormats="0" applyWidthHeightFormats="0">
  <queryTableRefresh nextId="7">
    <queryTableFields count="6">
      <queryTableField id="1" name="Document Type" tableColumnId="1"/>
      <queryTableField id="2" name="Document Number" tableColumnId="2"/>
      <queryTableField id="3" name="Due Date" tableColumnId="3"/>
      <queryTableField id="4" name="Amount Due" tableColumnId="4"/>
      <queryTableField id="5" name="Claim Number" tableColumnId="5"/>
      <queryTableField id="6" name="Customer Reference" tableColumnId="6"/>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025C4B5-E55F-4101-97BA-DFD6BC44D715}" name="Table1" displayName="Table1" ref="A1:U1180" totalsRowShown="0" headerRowDxfId="16">
  <autoFilter ref="A1:U1180" xr:uid="{2025C4B5-E55F-4101-97BA-DFD6BC44D715}"/>
  <tableColumns count="21">
    <tableColumn id="1" xr3:uid="{C1D07D0D-9E77-4D2A-A337-261E4DDA565D}" name="Document Type"/>
    <tableColumn id="2" xr3:uid="{4904C405-6901-4DD0-A63F-690E6F2B1FDC}" name="Document Number"/>
    <tableColumn id="3" xr3:uid="{8B3B50D4-BDFF-44DB-82E2-A90014161FCE}" name="Document Date" dataDxfId="15"/>
    <tableColumn id="4" xr3:uid="{78D3335E-B3B8-44EA-BA95-27C1AC612F0D}" name="Due Date" dataDxfId="14"/>
    <tableColumn id="5" xr3:uid="{6F83A49B-5ACE-4B3C-AD4C-2B9793256C55}" name="Amount Due" dataDxfId="13"/>
    <tableColumn id="6" xr3:uid="{DB0BDC82-DF3C-4046-96E7-EE3F72D4AB3C}" name="Original Amount" dataDxfId="12"/>
    <tableColumn id="7" xr3:uid="{3F70D54F-553D-4570-9659-5EAFD0EB1774}" name="Claim Number"/>
    <tableColumn id="8" xr3:uid="{047B1C2E-4674-45D4-A78A-6AEB3B5B1C70}" name="Claim Amount"/>
    <tableColumn id="9" xr3:uid="{B13072DF-BCAA-48D3-A9A3-F503C388629B}" name="Claim Reason"/>
    <tableColumn id="10" xr3:uid="{B2A7E76D-4AF6-467E-B408-705BDA5C0AD6}" name="Dispute Amount"/>
    <tableColumn id="11" xr3:uid="{236DFDDD-41FB-4AD8-BE81-68724DE25BBF}" name="Payment Terms"/>
    <tableColumn id="12" xr3:uid="{B4B4AA4B-D7BC-426E-8E0D-AE6E6E81D6B6}" name="Customer Reason"/>
    <tableColumn id="13" xr3:uid="{C46D758E-7A25-49A9-9DB2-644F588213B9}" name="Customer Reference"/>
    <tableColumn id="14" xr3:uid="{69757CE3-A955-4826-8F70-41910991671C}" name="Billing Number"/>
    <tableColumn id="15" xr3:uid="{A49C4E39-860A-4F56-9067-96DA1EC095C1}" name="Discount Amount"/>
    <tableColumn id="16" xr3:uid="{A0548190-45F2-479B-B043-6F37DC7BA7F6}" name="Days Late"/>
    <tableColumn id="17" xr3:uid="{8A33D803-E6A5-4D92-BCCE-267D5756084B}" name="Purchase Order"/>
    <tableColumn id="18" xr3:uid="{5B5276AC-1226-40BB-BB92-A8D0EA7D7889}" name="Bill of Lading"/>
    <tableColumn id="19" xr3:uid="{87DF1CBC-E921-4B8F-86D3-398EEB2EED73}" name="Currency"/>
    <tableColumn id="20" xr3:uid="{EC56D6AB-CB49-4F60-AECB-5C13C3215286}" name="Exchange Rate"/>
    <tableColumn id="21" xr3:uid="{19231081-BCFC-403D-A5E1-AC8597BDE64E}" name="Operating Uni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7A9748-B47B-4D03-AB03-1C08B160435C}" name="Table1__2" displayName="Table1__2" ref="A1:I2" tableType="queryTable" insertRow="1" totalsRowShown="0" headerRowDxfId="26">
  <autoFilter ref="A1:I2" xr:uid="{947A9748-B47B-4D03-AB03-1C08B160435C}"/>
  <tableColumns count="9">
    <tableColumn id="1" xr3:uid="{458F0011-F392-459F-8DFB-F9E8C56095E9}" uniqueName="1" name="Column1" queryTableFieldId="1" dataDxfId="25"/>
    <tableColumn id="2" xr3:uid="{AC45CCD5-E110-4434-A9BA-BAAD5C713149}" uniqueName="2" name="Column2" queryTableFieldId="2" dataDxfId="24"/>
    <tableColumn id="3" xr3:uid="{75BE40C2-771A-475F-9A35-D2A637F61F7D}" uniqueName="3" name="Column3" queryTableFieldId="3" dataDxfId="23"/>
    <tableColumn id="4" xr3:uid="{88DF92A0-3C0A-45B0-A28A-610D3972A57F}" uniqueName="4" name="Column4" queryTableFieldId="4" dataDxfId="22"/>
    <tableColumn id="5" xr3:uid="{7E7E74AE-358C-40A5-8653-D2D40E10D104}" uniqueName="5" name="Column5" queryTableFieldId="5" dataDxfId="21"/>
    <tableColumn id="6" xr3:uid="{000CBD42-F641-4594-8BDC-9D6A1C6B957C}" uniqueName="6" name="Column6" queryTableFieldId="6" dataDxfId="20"/>
    <tableColumn id="7" xr3:uid="{460F5BF5-3A8F-4C8F-8B36-5739A29EFBEE}" uniqueName="7" name="Column7" queryTableFieldId="7" dataDxfId="19"/>
    <tableColumn id="8" xr3:uid="{8B48D344-4FFF-4750-8564-D2B146737E50}" uniqueName="8" name="Column8" queryTableFieldId="8" dataDxfId="18"/>
    <tableColumn id="9" xr3:uid="{A4F5ECC1-098B-45F6-AA93-A79476669791}" uniqueName="9" name="Column9" queryTableFieldId="9" dataDxfId="17"/>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764EE3F-DD9D-4EFD-87DF-854939EFA3B2}" name="Query1" displayName="Query1" ref="A1:F2" tableType="queryTable" insertRow="1" totalsRowShown="0" headerRowDxfId="6">
  <autoFilter ref="A1:F2" xr:uid="{E764EE3F-DD9D-4EFD-87DF-854939EFA3B2}"/>
  <tableColumns count="6">
    <tableColumn id="1" xr3:uid="{1D1CAD85-3FCA-48D7-9068-F249F365940A}" uniqueName="1" name="Column1" queryTableFieldId="1" dataDxfId="5"/>
    <tableColumn id="2" xr3:uid="{F8DF6C23-0043-41E3-98F5-6EBAA753B118}" uniqueName="2" name="Column2" queryTableFieldId="2" dataDxfId="4"/>
    <tableColumn id="3" xr3:uid="{1171067A-D029-41C4-BBF9-AD50DC4F852F}" uniqueName="3" name="Column3" queryTableFieldId="3" dataDxfId="3"/>
    <tableColumn id="4" xr3:uid="{CA94342E-B38E-4E3D-8E2F-CCD5B80BE32D}" uniqueName="4" name="Column4" queryTableFieldId="4" dataDxfId="2"/>
    <tableColumn id="5" xr3:uid="{9BD76321-D43E-4DBC-9673-AB7625464A2C}" uniqueName="5" name="Column5" queryTableFieldId="5" dataDxfId="1"/>
    <tableColumn id="6" xr3:uid="{D2962868-10E7-48F7-A87F-5353184AB7F9}" uniqueName="6" name="Column6" queryTableFieldId="6"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18A1DF-5FC6-481C-9D15-E18F701CE274}">
  <sheetPr codeName="Sheet2"/>
  <dimension ref="A1:U1180"/>
  <sheetViews>
    <sheetView zoomScaleNormal="100" workbookViewId="0">
      <selection sqref="A1:V305"/>
    </sheetView>
  </sheetViews>
  <sheetFormatPr defaultRowHeight="15" x14ac:dyDescent="0.25"/>
  <cols>
    <col min="1" max="1" width="17.28515625" customWidth="1"/>
    <col min="2" max="2" width="20.28515625" customWidth="1"/>
    <col min="3" max="3" width="17.28515625" customWidth="1"/>
    <col min="4" max="4" width="11.5703125" customWidth="1"/>
    <col min="5" max="5" width="14.28515625" customWidth="1"/>
    <col min="6" max="6" width="17.5703125" customWidth="1"/>
    <col min="7" max="7" width="16.140625" customWidth="1"/>
    <col min="8" max="8" width="15.85546875" customWidth="1"/>
    <col min="9" max="9" width="15.5703125" customWidth="1"/>
    <col min="10" max="10" width="17.7109375" customWidth="1"/>
    <col min="11" max="11" width="17" customWidth="1"/>
    <col min="12" max="12" width="26.85546875" bestFit="1" customWidth="1"/>
    <col min="13" max="13" width="22" customWidth="1"/>
    <col min="14" max="14" width="16.42578125" customWidth="1"/>
    <col min="15" max="15" width="18.7109375" customWidth="1"/>
    <col min="16" max="16" width="16.28515625" bestFit="1" customWidth="1"/>
    <col min="17" max="17" width="23" bestFit="1" customWidth="1"/>
    <col min="18" max="18" width="14.5703125" customWidth="1"/>
    <col min="19" max="19" width="15.28515625" bestFit="1" customWidth="1"/>
    <col min="20" max="20" width="16.28515625" customWidth="1"/>
    <col min="21" max="21" width="21.5703125" bestFit="1" customWidth="1"/>
  </cols>
  <sheetData>
    <row r="1" spans="1:21" s="3" customFormat="1" x14ac:dyDescent="0.25">
      <c r="A1" s="3" t="s">
        <v>0</v>
      </c>
      <c r="B1" s="3" t="s">
        <v>1</v>
      </c>
      <c r="C1" s="3" t="s">
        <v>2</v>
      </c>
      <c r="D1" s="3" t="s">
        <v>3</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c r="U1" s="3" t="s">
        <v>20</v>
      </c>
    </row>
    <row r="2" spans="1:21" x14ac:dyDescent="0.25">
      <c r="C2" s="1"/>
      <c r="D2" s="1"/>
      <c r="E2" s="2"/>
      <c r="F2" s="2"/>
      <c r="H2" s="2"/>
    </row>
    <row r="3" spans="1:21" x14ac:dyDescent="0.25">
      <c r="C3" s="1"/>
      <c r="D3" s="1"/>
      <c r="E3" s="2"/>
      <c r="F3" s="2"/>
      <c r="H3" s="2"/>
    </row>
    <row r="4" spans="1:21" x14ac:dyDescent="0.25">
      <c r="C4" s="1"/>
      <c r="D4" s="1"/>
      <c r="E4" s="2"/>
      <c r="F4" s="2"/>
      <c r="H4" s="2"/>
    </row>
    <row r="5" spans="1:21" x14ac:dyDescent="0.25">
      <c r="C5" s="1"/>
      <c r="D5" s="1"/>
      <c r="E5" s="2"/>
      <c r="F5" s="2"/>
      <c r="H5" s="2"/>
      <c r="Q5" s="63"/>
    </row>
    <row r="6" spans="1:21" x14ac:dyDescent="0.25">
      <c r="C6" s="1"/>
      <c r="D6" s="1"/>
      <c r="E6" s="2"/>
      <c r="F6" s="2"/>
    </row>
    <row r="7" spans="1:21" x14ac:dyDescent="0.25">
      <c r="C7" s="1"/>
      <c r="D7" s="1"/>
      <c r="E7" s="2"/>
      <c r="F7" s="2"/>
    </row>
    <row r="8" spans="1:21" x14ac:dyDescent="0.25">
      <c r="C8" s="1"/>
      <c r="D8" s="1"/>
      <c r="E8" s="2"/>
      <c r="F8" s="2"/>
      <c r="H8" s="2"/>
    </row>
    <row r="9" spans="1:21" x14ac:dyDescent="0.25">
      <c r="C9" s="1"/>
      <c r="D9" s="1"/>
      <c r="E9" s="2"/>
      <c r="F9" s="2"/>
    </row>
    <row r="10" spans="1:21" x14ac:dyDescent="0.25">
      <c r="C10" s="1"/>
      <c r="D10" s="1"/>
      <c r="E10" s="2"/>
      <c r="F10" s="2"/>
      <c r="H10" s="2"/>
    </row>
    <row r="11" spans="1:21" x14ac:dyDescent="0.25">
      <c r="C11" s="1"/>
      <c r="D11" s="1"/>
      <c r="E11" s="2"/>
      <c r="F11" s="2"/>
      <c r="H11" s="2"/>
    </row>
    <row r="12" spans="1:21" x14ac:dyDescent="0.25">
      <c r="C12" s="1"/>
      <c r="D12" s="1"/>
      <c r="E12" s="2"/>
      <c r="F12" s="2"/>
      <c r="H12" s="2"/>
    </row>
    <row r="13" spans="1:21" x14ac:dyDescent="0.25">
      <c r="C13" s="1"/>
      <c r="D13" s="1"/>
      <c r="E13" s="2"/>
      <c r="F13" s="2"/>
      <c r="H13" s="2"/>
    </row>
    <row r="14" spans="1:21" x14ac:dyDescent="0.25">
      <c r="C14" s="1"/>
      <c r="D14" s="1"/>
      <c r="E14" s="2"/>
      <c r="F14" s="2"/>
      <c r="H14" s="2"/>
    </row>
    <row r="15" spans="1:21" x14ac:dyDescent="0.25">
      <c r="C15" s="1"/>
      <c r="D15" s="1"/>
      <c r="E15" s="2"/>
      <c r="F15" s="2"/>
    </row>
    <row r="16" spans="1:21" x14ac:dyDescent="0.25">
      <c r="C16" s="1"/>
      <c r="D16" s="1"/>
      <c r="E16" s="2"/>
      <c r="F16" s="2"/>
    </row>
    <row r="17" spans="3:8" x14ac:dyDescent="0.25">
      <c r="C17" s="1"/>
      <c r="D17" s="1"/>
      <c r="E17" s="2"/>
      <c r="F17" s="2"/>
      <c r="H17" s="2"/>
    </row>
    <row r="18" spans="3:8" x14ac:dyDescent="0.25">
      <c r="C18" s="1"/>
      <c r="D18" s="1"/>
      <c r="E18" s="2"/>
      <c r="F18" s="2"/>
    </row>
    <row r="19" spans="3:8" x14ac:dyDescent="0.25">
      <c r="C19" s="1"/>
      <c r="D19" s="1"/>
      <c r="E19" s="2"/>
      <c r="F19" s="2"/>
    </row>
    <row r="20" spans="3:8" x14ac:dyDescent="0.25">
      <c r="C20" s="1"/>
      <c r="D20" s="1"/>
      <c r="E20" s="2"/>
      <c r="F20" s="2"/>
      <c r="H20" s="2"/>
    </row>
    <row r="21" spans="3:8" x14ac:dyDescent="0.25">
      <c r="C21" s="1"/>
      <c r="D21" s="1"/>
      <c r="E21" s="2"/>
      <c r="F21" s="2"/>
      <c r="H21" s="2"/>
    </row>
    <row r="22" spans="3:8" x14ac:dyDescent="0.25">
      <c r="C22" s="1"/>
      <c r="D22" s="1"/>
      <c r="E22" s="2"/>
      <c r="F22" s="2"/>
      <c r="H22" s="2"/>
    </row>
    <row r="23" spans="3:8" x14ac:dyDescent="0.25">
      <c r="C23" s="1"/>
      <c r="D23" s="1"/>
      <c r="E23" s="2"/>
      <c r="F23" s="2"/>
    </row>
    <row r="24" spans="3:8" x14ac:dyDescent="0.25">
      <c r="C24" s="1"/>
      <c r="D24" s="1"/>
      <c r="E24" s="2"/>
      <c r="F24" s="2"/>
      <c r="H24" s="2"/>
    </row>
    <row r="25" spans="3:8" x14ac:dyDescent="0.25">
      <c r="C25" s="1"/>
      <c r="D25" s="1"/>
      <c r="E25" s="2"/>
      <c r="F25" s="2"/>
      <c r="H25" s="2"/>
    </row>
    <row r="26" spans="3:8" x14ac:dyDescent="0.25">
      <c r="C26" s="1"/>
      <c r="D26" s="1"/>
      <c r="E26" s="2"/>
      <c r="F26" s="2"/>
      <c r="H26" s="2"/>
    </row>
    <row r="27" spans="3:8" x14ac:dyDescent="0.25">
      <c r="C27" s="1"/>
      <c r="D27" s="1"/>
      <c r="E27" s="2"/>
      <c r="F27" s="2"/>
      <c r="H27" s="2"/>
    </row>
    <row r="28" spans="3:8" x14ac:dyDescent="0.25">
      <c r="C28" s="1"/>
      <c r="D28" s="1"/>
      <c r="E28" s="2"/>
      <c r="F28" s="2"/>
      <c r="H28" s="2"/>
    </row>
    <row r="29" spans="3:8" x14ac:dyDescent="0.25">
      <c r="C29" s="1"/>
      <c r="D29" s="1"/>
      <c r="E29" s="2"/>
      <c r="F29" s="2"/>
      <c r="H29" s="2"/>
    </row>
    <row r="30" spans="3:8" x14ac:dyDescent="0.25">
      <c r="C30" s="1"/>
      <c r="D30" s="1"/>
      <c r="E30" s="2"/>
      <c r="F30" s="2"/>
      <c r="H30" s="2"/>
    </row>
    <row r="31" spans="3:8" x14ac:dyDescent="0.25">
      <c r="C31" s="1"/>
      <c r="D31" s="1"/>
      <c r="E31" s="2"/>
      <c r="F31" s="2"/>
      <c r="H31" s="2"/>
    </row>
    <row r="32" spans="3:8" x14ac:dyDescent="0.25">
      <c r="C32" s="1"/>
      <c r="D32" s="1"/>
      <c r="E32" s="2"/>
      <c r="F32" s="2"/>
      <c r="H32" s="2"/>
    </row>
    <row r="33" spans="3:8" x14ac:dyDescent="0.25">
      <c r="C33" s="1"/>
      <c r="D33" s="1"/>
      <c r="E33" s="2"/>
      <c r="F33" s="2"/>
      <c r="H33" s="2"/>
    </row>
    <row r="34" spans="3:8" x14ac:dyDescent="0.25">
      <c r="C34" s="1"/>
      <c r="D34" s="1"/>
      <c r="E34" s="2"/>
      <c r="F34" s="2"/>
    </row>
    <row r="35" spans="3:8" x14ac:dyDescent="0.25">
      <c r="C35" s="1"/>
      <c r="D35" s="1"/>
      <c r="E35" s="2"/>
      <c r="F35" s="2"/>
    </row>
    <row r="36" spans="3:8" x14ac:dyDescent="0.25">
      <c r="C36" s="1"/>
      <c r="D36" s="1"/>
      <c r="E36" s="2"/>
      <c r="F36" s="2"/>
    </row>
    <row r="37" spans="3:8" x14ac:dyDescent="0.25">
      <c r="C37" s="1"/>
      <c r="D37" s="1"/>
      <c r="E37" s="2"/>
      <c r="F37" s="2"/>
    </row>
    <row r="38" spans="3:8" x14ac:dyDescent="0.25">
      <c r="C38" s="1"/>
      <c r="D38" s="1"/>
      <c r="E38" s="2"/>
      <c r="F38" s="2"/>
    </row>
    <row r="39" spans="3:8" x14ac:dyDescent="0.25">
      <c r="C39" s="1"/>
      <c r="D39" s="1"/>
      <c r="E39" s="2"/>
      <c r="F39" s="2"/>
    </row>
    <row r="40" spans="3:8" x14ac:dyDescent="0.25">
      <c r="C40" s="1"/>
      <c r="D40" s="1"/>
      <c r="E40" s="2"/>
      <c r="F40" s="2"/>
    </row>
    <row r="41" spans="3:8" x14ac:dyDescent="0.25">
      <c r="C41" s="1"/>
      <c r="D41" s="1"/>
      <c r="E41" s="2"/>
      <c r="F41" s="2"/>
      <c r="H41" s="2"/>
    </row>
    <row r="42" spans="3:8" x14ac:dyDescent="0.25">
      <c r="C42" s="1"/>
      <c r="D42" s="1"/>
      <c r="E42" s="2"/>
      <c r="F42" s="2"/>
      <c r="H42" s="2"/>
    </row>
    <row r="43" spans="3:8" x14ac:dyDescent="0.25">
      <c r="C43" s="1"/>
      <c r="D43" s="1"/>
      <c r="E43" s="2"/>
      <c r="F43" s="2"/>
      <c r="H43" s="2"/>
    </row>
    <row r="44" spans="3:8" x14ac:dyDescent="0.25">
      <c r="C44" s="1"/>
      <c r="D44" s="1"/>
      <c r="E44" s="2"/>
      <c r="F44" s="2"/>
    </row>
    <row r="45" spans="3:8" x14ac:dyDescent="0.25">
      <c r="C45" s="1"/>
      <c r="D45" s="1"/>
      <c r="E45" s="2"/>
      <c r="F45" s="2"/>
    </row>
    <row r="46" spans="3:8" x14ac:dyDescent="0.25">
      <c r="C46" s="1"/>
      <c r="D46" s="1"/>
      <c r="E46" s="2"/>
      <c r="F46" s="2"/>
      <c r="H46" s="2"/>
    </row>
    <row r="47" spans="3:8" x14ac:dyDescent="0.25">
      <c r="C47" s="1"/>
      <c r="D47" s="1"/>
      <c r="E47" s="2"/>
      <c r="F47" s="2"/>
      <c r="H47" s="2"/>
    </row>
    <row r="48" spans="3:8" x14ac:dyDescent="0.25">
      <c r="C48" s="1"/>
      <c r="D48" s="1"/>
      <c r="E48" s="2"/>
      <c r="F48" s="2"/>
      <c r="H48" s="2"/>
    </row>
    <row r="49" spans="3:8" x14ac:dyDescent="0.25">
      <c r="C49" s="1"/>
      <c r="D49" s="1"/>
      <c r="E49" s="2"/>
      <c r="F49" s="2"/>
    </row>
    <row r="50" spans="3:8" x14ac:dyDescent="0.25">
      <c r="C50" s="1"/>
      <c r="D50" s="1"/>
      <c r="E50" s="2"/>
      <c r="F50" s="2"/>
      <c r="H50" s="2"/>
    </row>
    <row r="51" spans="3:8" x14ac:dyDescent="0.25">
      <c r="C51" s="1"/>
      <c r="D51" s="1"/>
      <c r="E51" s="2"/>
      <c r="F51" s="2"/>
    </row>
    <row r="52" spans="3:8" x14ac:dyDescent="0.25">
      <c r="C52" s="1"/>
      <c r="D52" s="1"/>
      <c r="E52" s="2"/>
      <c r="F52" s="2"/>
    </row>
    <row r="53" spans="3:8" x14ac:dyDescent="0.25">
      <c r="C53" s="1"/>
      <c r="D53" s="1"/>
      <c r="E53" s="2"/>
      <c r="F53" s="2"/>
    </row>
    <row r="54" spans="3:8" x14ac:dyDescent="0.25">
      <c r="C54" s="1"/>
      <c r="D54" s="1"/>
      <c r="E54" s="2"/>
      <c r="F54" s="2"/>
    </row>
    <row r="55" spans="3:8" x14ac:dyDescent="0.25">
      <c r="C55" s="1"/>
      <c r="D55" s="1"/>
      <c r="E55" s="2"/>
      <c r="F55" s="2"/>
    </row>
    <row r="56" spans="3:8" x14ac:dyDescent="0.25">
      <c r="C56" s="1"/>
      <c r="D56" s="1"/>
      <c r="E56" s="2"/>
      <c r="F56" s="2"/>
    </row>
    <row r="57" spans="3:8" x14ac:dyDescent="0.25">
      <c r="C57" s="1"/>
      <c r="D57" s="1"/>
      <c r="E57" s="2"/>
      <c r="F57" s="2"/>
    </row>
    <row r="58" spans="3:8" x14ac:dyDescent="0.25">
      <c r="C58" s="1"/>
      <c r="D58" s="1"/>
      <c r="E58" s="2"/>
      <c r="F58" s="2"/>
      <c r="H58" s="2"/>
    </row>
    <row r="59" spans="3:8" x14ac:dyDescent="0.25">
      <c r="C59" s="1"/>
      <c r="D59" s="1"/>
      <c r="E59" s="2"/>
      <c r="F59" s="2"/>
      <c r="H59" s="2"/>
    </row>
    <row r="60" spans="3:8" x14ac:dyDescent="0.25">
      <c r="C60" s="1"/>
      <c r="D60" s="1"/>
      <c r="E60" s="2"/>
      <c r="F60" s="2"/>
    </row>
    <row r="61" spans="3:8" x14ac:dyDescent="0.25">
      <c r="C61" s="1"/>
      <c r="D61" s="1"/>
      <c r="E61" s="2"/>
      <c r="F61" s="2"/>
    </row>
    <row r="62" spans="3:8" x14ac:dyDescent="0.25">
      <c r="C62" s="1"/>
      <c r="D62" s="1"/>
      <c r="E62" s="2"/>
      <c r="F62" s="2"/>
    </row>
    <row r="63" spans="3:8" x14ac:dyDescent="0.25">
      <c r="C63" s="1"/>
      <c r="D63" s="1"/>
      <c r="E63" s="2"/>
      <c r="F63" s="2"/>
      <c r="H63" s="2"/>
    </row>
    <row r="64" spans="3:8" x14ac:dyDescent="0.25">
      <c r="C64" s="1"/>
      <c r="D64" s="1"/>
      <c r="E64" s="2"/>
      <c r="F64" s="2"/>
    </row>
    <row r="65" spans="3:6" x14ac:dyDescent="0.25">
      <c r="C65" s="1"/>
      <c r="D65" s="1"/>
      <c r="E65" s="2"/>
      <c r="F65" s="2"/>
    </row>
    <row r="66" spans="3:6" x14ac:dyDescent="0.25">
      <c r="C66" s="1"/>
      <c r="D66" s="1"/>
      <c r="E66" s="2"/>
      <c r="F66" s="2"/>
    </row>
    <row r="67" spans="3:6" x14ac:dyDescent="0.25">
      <c r="C67" s="1"/>
      <c r="D67" s="1"/>
      <c r="E67" s="2"/>
      <c r="F67" s="2"/>
    </row>
    <row r="68" spans="3:6" x14ac:dyDescent="0.25">
      <c r="C68" s="1"/>
      <c r="D68" s="1"/>
      <c r="E68" s="2"/>
      <c r="F68" s="2"/>
    </row>
    <row r="69" spans="3:6" x14ac:dyDescent="0.25">
      <c r="C69" s="1"/>
      <c r="D69" s="1"/>
      <c r="E69" s="2"/>
      <c r="F69" s="2"/>
    </row>
    <row r="70" spans="3:6" x14ac:dyDescent="0.25">
      <c r="C70" s="1"/>
      <c r="D70" s="1"/>
      <c r="E70" s="2"/>
      <c r="F70" s="2"/>
    </row>
    <row r="71" spans="3:6" x14ac:dyDescent="0.25">
      <c r="C71" s="1"/>
      <c r="D71" s="1"/>
      <c r="E71" s="2"/>
      <c r="F71" s="2"/>
    </row>
    <row r="72" spans="3:6" x14ac:dyDescent="0.25">
      <c r="C72" s="1"/>
      <c r="D72" s="1"/>
      <c r="E72" s="2"/>
      <c r="F72" s="2"/>
    </row>
    <row r="73" spans="3:6" x14ac:dyDescent="0.25">
      <c r="C73" s="1"/>
      <c r="D73" s="1"/>
      <c r="E73" s="2"/>
      <c r="F73" s="2"/>
    </row>
    <row r="74" spans="3:6" x14ac:dyDescent="0.25">
      <c r="C74" s="1"/>
      <c r="D74" s="1"/>
      <c r="E74" s="2"/>
      <c r="F74" s="2"/>
    </row>
    <row r="75" spans="3:6" x14ac:dyDescent="0.25">
      <c r="C75" s="1"/>
      <c r="D75" s="1"/>
      <c r="E75" s="2"/>
      <c r="F75" s="2"/>
    </row>
    <row r="76" spans="3:6" x14ac:dyDescent="0.25">
      <c r="C76" s="1"/>
      <c r="D76" s="1"/>
      <c r="E76" s="2"/>
      <c r="F76" s="2"/>
    </row>
    <row r="77" spans="3:6" x14ac:dyDescent="0.25">
      <c r="C77" s="1"/>
      <c r="D77" s="1"/>
      <c r="E77" s="2"/>
      <c r="F77" s="2"/>
    </row>
    <row r="78" spans="3:6" x14ac:dyDescent="0.25">
      <c r="C78" s="1"/>
      <c r="D78" s="1"/>
      <c r="E78" s="2"/>
      <c r="F78" s="2"/>
    </row>
    <row r="79" spans="3:6" x14ac:dyDescent="0.25">
      <c r="C79" s="1"/>
      <c r="D79" s="1"/>
      <c r="E79" s="2"/>
      <c r="F79" s="2"/>
    </row>
    <row r="80" spans="3:6" x14ac:dyDescent="0.25">
      <c r="C80" s="1"/>
      <c r="D80" s="1"/>
      <c r="E80" s="2"/>
      <c r="F80" s="2"/>
    </row>
    <row r="81" spans="3:6" x14ac:dyDescent="0.25">
      <c r="C81" s="1"/>
      <c r="D81" s="1"/>
      <c r="E81" s="2"/>
      <c r="F81" s="2"/>
    </row>
    <row r="82" spans="3:6" x14ac:dyDescent="0.25">
      <c r="C82" s="1"/>
      <c r="D82" s="1"/>
      <c r="E82" s="2"/>
      <c r="F82" s="2"/>
    </row>
    <row r="83" spans="3:6" x14ac:dyDescent="0.25">
      <c r="C83" s="1"/>
      <c r="D83" s="1"/>
      <c r="E83" s="2"/>
      <c r="F83" s="2"/>
    </row>
    <row r="84" spans="3:6" x14ac:dyDescent="0.25">
      <c r="C84" s="1"/>
      <c r="D84" s="1"/>
      <c r="E84" s="2"/>
      <c r="F84" s="2"/>
    </row>
    <row r="85" spans="3:6" x14ac:dyDescent="0.25">
      <c r="C85" s="1"/>
      <c r="D85" s="1"/>
      <c r="E85" s="2"/>
      <c r="F85" s="2"/>
    </row>
    <row r="86" spans="3:6" x14ac:dyDescent="0.25">
      <c r="C86" s="1"/>
      <c r="D86" s="1"/>
      <c r="E86" s="2"/>
      <c r="F86" s="2"/>
    </row>
    <row r="87" spans="3:6" x14ac:dyDescent="0.25">
      <c r="C87" s="1"/>
      <c r="D87" s="1"/>
      <c r="E87" s="2"/>
      <c r="F87" s="2"/>
    </row>
    <row r="88" spans="3:6" x14ac:dyDescent="0.25">
      <c r="C88" s="1"/>
      <c r="D88" s="1"/>
      <c r="E88" s="2"/>
      <c r="F88" s="2"/>
    </row>
    <row r="89" spans="3:6" x14ac:dyDescent="0.25">
      <c r="C89" s="1"/>
      <c r="D89" s="1"/>
      <c r="E89" s="2"/>
      <c r="F89" s="2"/>
    </row>
    <row r="90" spans="3:6" x14ac:dyDescent="0.25">
      <c r="C90" s="1"/>
      <c r="D90" s="1"/>
      <c r="E90" s="2"/>
      <c r="F90" s="2"/>
    </row>
    <row r="91" spans="3:6" x14ac:dyDescent="0.25">
      <c r="C91" s="1"/>
      <c r="D91" s="1"/>
      <c r="E91" s="2"/>
      <c r="F91" s="2"/>
    </row>
    <row r="92" spans="3:6" x14ac:dyDescent="0.25">
      <c r="C92" s="1"/>
      <c r="D92" s="1"/>
      <c r="E92" s="2"/>
      <c r="F92" s="2"/>
    </row>
    <row r="93" spans="3:6" x14ac:dyDescent="0.25">
      <c r="C93" s="1"/>
      <c r="D93" s="1"/>
      <c r="E93" s="2"/>
      <c r="F93" s="2"/>
    </row>
    <row r="94" spans="3:6" x14ac:dyDescent="0.25">
      <c r="C94" s="1"/>
      <c r="D94" s="1"/>
      <c r="E94" s="2"/>
      <c r="F94" s="2"/>
    </row>
    <row r="95" spans="3:6" x14ac:dyDescent="0.25">
      <c r="C95" s="1"/>
      <c r="D95" s="1"/>
      <c r="E95" s="2"/>
      <c r="F95" s="2"/>
    </row>
    <row r="96" spans="3:6" x14ac:dyDescent="0.25">
      <c r="C96" s="1"/>
      <c r="D96" s="1"/>
      <c r="E96" s="2"/>
      <c r="F96" s="2"/>
    </row>
    <row r="97" spans="3:6" x14ac:dyDescent="0.25">
      <c r="C97" s="1"/>
      <c r="D97" s="1"/>
      <c r="E97" s="2"/>
      <c r="F97" s="2"/>
    </row>
    <row r="98" spans="3:6" x14ac:dyDescent="0.25">
      <c r="C98" s="1"/>
      <c r="D98" s="1"/>
      <c r="E98" s="2"/>
      <c r="F98" s="2"/>
    </row>
    <row r="99" spans="3:6" x14ac:dyDescent="0.25">
      <c r="C99" s="1"/>
      <c r="D99" s="1"/>
      <c r="E99" s="2"/>
      <c r="F99" s="2"/>
    </row>
    <row r="100" spans="3:6" x14ac:dyDescent="0.25">
      <c r="C100" s="1"/>
      <c r="D100" s="1"/>
      <c r="E100" s="2"/>
      <c r="F100" s="2"/>
    </row>
    <row r="101" spans="3:6" x14ac:dyDescent="0.25">
      <c r="C101" s="1"/>
      <c r="D101" s="1"/>
      <c r="E101" s="2"/>
      <c r="F101" s="2"/>
    </row>
    <row r="102" spans="3:6" x14ac:dyDescent="0.25">
      <c r="C102" s="1"/>
      <c r="D102" s="1"/>
      <c r="E102" s="2"/>
      <c r="F102" s="2"/>
    </row>
    <row r="103" spans="3:6" x14ac:dyDescent="0.25">
      <c r="C103" s="1"/>
      <c r="D103" s="1"/>
      <c r="E103" s="2"/>
      <c r="F103" s="2"/>
    </row>
    <row r="104" spans="3:6" x14ac:dyDescent="0.25">
      <c r="C104" s="1"/>
      <c r="D104" s="1"/>
      <c r="E104" s="2"/>
      <c r="F104" s="2"/>
    </row>
    <row r="105" spans="3:6" x14ac:dyDescent="0.25">
      <c r="C105" s="1"/>
      <c r="D105" s="1"/>
      <c r="E105" s="2"/>
      <c r="F105" s="2"/>
    </row>
    <row r="106" spans="3:6" x14ac:dyDescent="0.25">
      <c r="C106" s="1"/>
      <c r="D106" s="1"/>
      <c r="E106" s="2"/>
      <c r="F106" s="2"/>
    </row>
    <row r="107" spans="3:6" x14ac:dyDescent="0.25">
      <c r="C107" s="1"/>
      <c r="D107" s="1"/>
      <c r="E107" s="2"/>
      <c r="F107" s="2"/>
    </row>
    <row r="108" spans="3:6" x14ac:dyDescent="0.25">
      <c r="C108" s="1"/>
      <c r="D108" s="1"/>
      <c r="E108" s="2"/>
      <c r="F108" s="2"/>
    </row>
    <row r="109" spans="3:6" x14ac:dyDescent="0.25">
      <c r="C109" s="1"/>
      <c r="D109" s="1"/>
      <c r="E109" s="2"/>
      <c r="F109" s="2"/>
    </row>
    <row r="110" spans="3:6" x14ac:dyDescent="0.25">
      <c r="C110" s="1"/>
      <c r="D110" s="1"/>
      <c r="E110" s="2"/>
      <c r="F110" s="2"/>
    </row>
    <row r="111" spans="3:6" x14ac:dyDescent="0.25">
      <c r="C111" s="1"/>
      <c r="D111" s="1"/>
      <c r="E111" s="2"/>
      <c r="F111" s="2"/>
    </row>
    <row r="112" spans="3:6" x14ac:dyDescent="0.25">
      <c r="C112" s="1"/>
      <c r="D112" s="1"/>
      <c r="E112" s="2"/>
      <c r="F112" s="2"/>
    </row>
    <row r="113" spans="3:6" x14ac:dyDescent="0.25">
      <c r="C113" s="1"/>
      <c r="D113" s="1"/>
      <c r="E113" s="2"/>
      <c r="F113" s="2"/>
    </row>
    <row r="114" spans="3:6" x14ac:dyDescent="0.25">
      <c r="C114" s="1"/>
      <c r="D114" s="1"/>
      <c r="E114" s="2"/>
      <c r="F114" s="2"/>
    </row>
    <row r="115" spans="3:6" x14ac:dyDescent="0.25">
      <c r="C115" s="1"/>
      <c r="D115" s="1"/>
      <c r="E115" s="2"/>
      <c r="F115" s="2"/>
    </row>
    <row r="116" spans="3:6" x14ac:dyDescent="0.25">
      <c r="C116" s="1"/>
      <c r="D116" s="1"/>
      <c r="E116" s="2"/>
      <c r="F116" s="2"/>
    </row>
    <row r="117" spans="3:6" x14ac:dyDescent="0.25">
      <c r="C117" s="1"/>
      <c r="D117" s="1"/>
      <c r="E117" s="2"/>
      <c r="F117" s="2"/>
    </row>
    <row r="118" spans="3:6" x14ac:dyDescent="0.25">
      <c r="C118" s="1"/>
      <c r="D118" s="1"/>
      <c r="E118" s="2"/>
      <c r="F118" s="2"/>
    </row>
    <row r="119" spans="3:6" x14ac:dyDescent="0.25">
      <c r="C119" s="1"/>
      <c r="D119" s="1"/>
      <c r="E119" s="2"/>
      <c r="F119" s="2"/>
    </row>
    <row r="120" spans="3:6" x14ac:dyDescent="0.25">
      <c r="C120" s="1"/>
      <c r="D120" s="1"/>
      <c r="E120" s="2"/>
      <c r="F120" s="2"/>
    </row>
    <row r="121" spans="3:6" x14ac:dyDescent="0.25">
      <c r="C121" s="1"/>
      <c r="D121" s="1"/>
      <c r="E121" s="2"/>
      <c r="F121" s="2"/>
    </row>
    <row r="122" spans="3:6" x14ac:dyDescent="0.25">
      <c r="C122" s="1"/>
      <c r="D122" s="1"/>
      <c r="E122" s="2"/>
      <c r="F122" s="2"/>
    </row>
    <row r="123" spans="3:6" x14ac:dyDescent="0.25">
      <c r="C123" s="1"/>
      <c r="D123" s="1"/>
      <c r="E123" s="2"/>
      <c r="F123" s="2"/>
    </row>
    <row r="124" spans="3:6" x14ac:dyDescent="0.25">
      <c r="C124" s="1"/>
      <c r="D124" s="1"/>
      <c r="E124" s="2"/>
      <c r="F124" s="2"/>
    </row>
    <row r="125" spans="3:6" x14ac:dyDescent="0.25">
      <c r="C125" s="1"/>
      <c r="D125" s="1"/>
      <c r="E125" s="2"/>
      <c r="F125" s="2"/>
    </row>
    <row r="126" spans="3:6" x14ac:dyDescent="0.25">
      <c r="C126" s="1"/>
      <c r="D126" s="1"/>
      <c r="E126" s="2"/>
      <c r="F126" s="2"/>
    </row>
    <row r="127" spans="3:6" x14ac:dyDescent="0.25">
      <c r="C127" s="1"/>
      <c r="D127" s="1"/>
      <c r="E127" s="2"/>
      <c r="F127" s="2"/>
    </row>
    <row r="128" spans="3:6" x14ac:dyDescent="0.25">
      <c r="C128" s="1"/>
      <c r="D128" s="1"/>
      <c r="E128" s="2"/>
      <c r="F128" s="2"/>
    </row>
    <row r="129" spans="3:6" x14ac:dyDescent="0.25">
      <c r="C129" s="1"/>
      <c r="D129" s="1"/>
      <c r="E129" s="2"/>
      <c r="F129" s="2"/>
    </row>
    <row r="130" spans="3:6" x14ac:dyDescent="0.25">
      <c r="C130" s="1"/>
      <c r="D130" s="1"/>
      <c r="E130" s="2"/>
      <c r="F130" s="2"/>
    </row>
    <row r="131" spans="3:6" x14ac:dyDescent="0.25">
      <c r="C131" s="1"/>
      <c r="D131" s="1"/>
      <c r="E131" s="2"/>
      <c r="F131" s="2"/>
    </row>
    <row r="132" spans="3:6" x14ac:dyDescent="0.25">
      <c r="C132" s="1"/>
      <c r="D132" s="1"/>
      <c r="E132" s="2"/>
      <c r="F132" s="2"/>
    </row>
    <row r="133" spans="3:6" x14ac:dyDescent="0.25">
      <c r="C133" s="1"/>
      <c r="D133" s="1"/>
      <c r="E133" s="2"/>
      <c r="F133" s="2"/>
    </row>
    <row r="134" spans="3:6" x14ac:dyDescent="0.25">
      <c r="C134" s="1"/>
      <c r="D134" s="1"/>
      <c r="E134" s="2"/>
      <c r="F134" s="2"/>
    </row>
    <row r="135" spans="3:6" x14ac:dyDescent="0.25">
      <c r="C135" s="1"/>
      <c r="D135" s="1"/>
      <c r="E135" s="2"/>
      <c r="F135" s="2"/>
    </row>
    <row r="136" spans="3:6" x14ac:dyDescent="0.25">
      <c r="C136" s="1"/>
      <c r="D136" s="1"/>
      <c r="E136" s="2"/>
      <c r="F136" s="2"/>
    </row>
    <row r="137" spans="3:6" x14ac:dyDescent="0.25">
      <c r="C137" s="1"/>
      <c r="D137" s="1"/>
      <c r="E137" s="2"/>
      <c r="F137" s="2"/>
    </row>
    <row r="138" spans="3:6" x14ac:dyDescent="0.25">
      <c r="C138" s="1"/>
      <c r="D138" s="1"/>
      <c r="E138" s="2"/>
      <c r="F138" s="2"/>
    </row>
    <row r="139" spans="3:6" x14ac:dyDescent="0.25">
      <c r="C139" s="1"/>
      <c r="D139" s="1"/>
      <c r="E139" s="2"/>
      <c r="F139" s="2"/>
    </row>
    <row r="140" spans="3:6" x14ac:dyDescent="0.25">
      <c r="C140" s="1"/>
      <c r="D140" s="1"/>
      <c r="E140" s="2"/>
      <c r="F140" s="2"/>
    </row>
    <row r="141" spans="3:6" x14ac:dyDescent="0.25">
      <c r="C141" s="1"/>
      <c r="D141" s="1"/>
      <c r="E141" s="2"/>
      <c r="F141" s="2"/>
    </row>
    <row r="142" spans="3:6" x14ac:dyDescent="0.25">
      <c r="C142" s="1"/>
      <c r="D142" s="1"/>
      <c r="E142" s="2"/>
      <c r="F142" s="2"/>
    </row>
    <row r="143" spans="3:6" x14ac:dyDescent="0.25">
      <c r="C143" s="1"/>
      <c r="D143" s="1"/>
      <c r="E143" s="2"/>
      <c r="F143" s="2"/>
    </row>
    <row r="144" spans="3:6" x14ac:dyDescent="0.25">
      <c r="C144" s="1"/>
      <c r="D144" s="1"/>
      <c r="E144" s="2"/>
      <c r="F144" s="2"/>
    </row>
    <row r="145" spans="3:6" x14ac:dyDescent="0.25">
      <c r="C145" s="1"/>
      <c r="D145" s="1"/>
      <c r="E145" s="2"/>
      <c r="F145" s="2"/>
    </row>
    <row r="146" spans="3:6" x14ac:dyDescent="0.25">
      <c r="C146" s="1"/>
      <c r="D146" s="1"/>
      <c r="E146" s="2"/>
      <c r="F146" s="2"/>
    </row>
    <row r="147" spans="3:6" x14ac:dyDescent="0.25">
      <c r="C147" s="1"/>
      <c r="D147" s="1"/>
      <c r="E147" s="2"/>
      <c r="F147" s="2"/>
    </row>
    <row r="148" spans="3:6" x14ac:dyDescent="0.25">
      <c r="C148" s="1"/>
      <c r="D148" s="1"/>
      <c r="E148" s="2"/>
      <c r="F148" s="2"/>
    </row>
    <row r="149" spans="3:6" x14ac:dyDescent="0.25">
      <c r="C149" s="1"/>
      <c r="D149" s="1"/>
      <c r="E149" s="2"/>
      <c r="F149" s="2"/>
    </row>
    <row r="150" spans="3:6" x14ac:dyDescent="0.25">
      <c r="C150" s="1"/>
      <c r="D150" s="1"/>
      <c r="E150" s="2"/>
      <c r="F150" s="2"/>
    </row>
    <row r="151" spans="3:6" x14ac:dyDescent="0.25">
      <c r="C151" s="1"/>
      <c r="D151" s="1"/>
      <c r="E151" s="2"/>
      <c r="F151" s="2"/>
    </row>
    <row r="152" spans="3:6" x14ac:dyDescent="0.25">
      <c r="C152" s="1"/>
      <c r="D152" s="1"/>
      <c r="E152" s="2"/>
      <c r="F152" s="2"/>
    </row>
    <row r="153" spans="3:6" x14ac:dyDescent="0.25">
      <c r="C153" s="1"/>
      <c r="D153" s="1"/>
      <c r="E153" s="2"/>
      <c r="F153" s="2"/>
    </row>
    <row r="154" spans="3:6" x14ac:dyDescent="0.25">
      <c r="C154" s="1"/>
      <c r="D154" s="1"/>
      <c r="E154" s="2"/>
      <c r="F154" s="2"/>
    </row>
    <row r="155" spans="3:6" x14ac:dyDescent="0.25">
      <c r="C155" s="1"/>
      <c r="D155" s="1"/>
      <c r="E155" s="2"/>
      <c r="F155" s="2"/>
    </row>
    <row r="156" spans="3:6" x14ac:dyDescent="0.25">
      <c r="C156" s="1"/>
      <c r="D156" s="1"/>
      <c r="E156" s="2"/>
      <c r="F156" s="2"/>
    </row>
    <row r="157" spans="3:6" x14ac:dyDescent="0.25">
      <c r="C157" s="1"/>
      <c r="D157" s="1"/>
      <c r="E157" s="2"/>
      <c r="F157" s="2"/>
    </row>
    <row r="158" spans="3:6" x14ac:dyDescent="0.25">
      <c r="C158" s="1"/>
      <c r="D158" s="1"/>
      <c r="E158" s="2"/>
      <c r="F158" s="2"/>
    </row>
    <row r="159" spans="3:6" x14ac:dyDescent="0.25">
      <c r="C159" s="1"/>
      <c r="D159" s="1"/>
      <c r="E159" s="2"/>
      <c r="F159" s="2"/>
    </row>
    <row r="160" spans="3:6" x14ac:dyDescent="0.25">
      <c r="C160" s="1"/>
      <c r="D160" s="1"/>
      <c r="E160" s="2"/>
      <c r="F160" s="2"/>
    </row>
    <row r="161" spans="3:6" x14ac:dyDescent="0.25">
      <c r="C161" s="1"/>
      <c r="D161" s="1"/>
      <c r="E161" s="2"/>
      <c r="F161" s="2"/>
    </row>
    <row r="162" spans="3:6" x14ac:dyDescent="0.25">
      <c r="C162" s="1"/>
      <c r="D162" s="1"/>
      <c r="E162" s="2"/>
      <c r="F162" s="2"/>
    </row>
    <row r="163" spans="3:6" x14ac:dyDescent="0.25">
      <c r="C163" s="1"/>
      <c r="D163" s="1"/>
      <c r="E163" s="2"/>
      <c r="F163" s="2"/>
    </row>
    <row r="164" spans="3:6" x14ac:dyDescent="0.25">
      <c r="C164" s="1"/>
      <c r="D164" s="1"/>
      <c r="E164" s="2"/>
      <c r="F164" s="2"/>
    </row>
    <row r="165" spans="3:6" x14ac:dyDescent="0.25">
      <c r="C165" s="1"/>
      <c r="D165" s="1"/>
      <c r="E165" s="2"/>
      <c r="F165" s="2"/>
    </row>
    <row r="166" spans="3:6" x14ac:dyDescent="0.25">
      <c r="C166" s="1"/>
      <c r="D166" s="1"/>
      <c r="E166" s="2"/>
      <c r="F166" s="2"/>
    </row>
    <row r="167" spans="3:6" x14ac:dyDescent="0.25">
      <c r="C167" s="1"/>
      <c r="D167" s="1"/>
      <c r="E167" s="2"/>
      <c r="F167" s="2"/>
    </row>
    <row r="168" spans="3:6" x14ac:dyDescent="0.25">
      <c r="C168" s="1"/>
      <c r="D168" s="1"/>
      <c r="E168" s="2"/>
      <c r="F168" s="2"/>
    </row>
    <row r="169" spans="3:6" x14ac:dyDescent="0.25">
      <c r="C169" s="1"/>
      <c r="D169" s="1"/>
      <c r="E169" s="2"/>
      <c r="F169" s="2"/>
    </row>
    <row r="170" spans="3:6" x14ac:dyDescent="0.25">
      <c r="C170" s="1"/>
      <c r="D170" s="1"/>
      <c r="E170" s="2"/>
      <c r="F170" s="2"/>
    </row>
    <row r="171" spans="3:6" x14ac:dyDescent="0.25">
      <c r="C171" s="1"/>
      <c r="D171" s="1"/>
      <c r="E171" s="2"/>
      <c r="F171" s="2"/>
    </row>
    <row r="172" spans="3:6" x14ac:dyDescent="0.25">
      <c r="C172" s="1"/>
      <c r="D172" s="1"/>
      <c r="E172" s="2"/>
      <c r="F172" s="2"/>
    </row>
    <row r="173" spans="3:6" x14ac:dyDescent="0.25">
      <c r="C173" s="1"/>
      <c r="D173" s="1"/>
      <c r="E173" s="2"/>
      <c r="F173" s="2"/>
    </row>
    <row r="174" spans="3:6" x14ac:dyDescent="0.25">
      <c r="C174" s="1"/>
      <c r="D174" s="1"/>
      <c r="E174" s="2"/>
      <c r="F174" s="2"/>
    </row>
    <row r="175" spans="3:6" x14ac:dyDescent="0.25">
      <c r="C175" s="1"/>
      <c r="D175" s="1"/>
      <c r="E175" s="2"/>
      <c r="F175" s="2"/>
    </row>
    <row r="176" spans="3:6" x14ac:dyDescent="0.25">
      <c r="C176" s="1"/>
      <c r="D176" s="1"/>
      <c r="E176" s="2"/>
      <c r="F176" s="2"/>
    </row>
    <row r="177" spans="3:6" x14ac:dyDescent="0.25">
      <c r="C177" s="1"/>
      <c r="D177" s="1"/>
      <c r="E177" s="2"/>
      <c r="F177" s="2"/>
    </row>
    <row r="178" spans="3:6" x14ac:dyDescent="0.25">
      <c r="C178" s="1"/>
      <c r="D178" s="1"/>
      <c r="E178" s="2"/>
      <c r="F178" s="2"/>
    </row>
    <row r="179" spans="3:6" x14ac:dyDescent="0.25">
      <c r="C179" s="1"/>
      <c r="D179" s="1"/>
      <c r="E179" s="2"/>
      <c r="F179" s="2"/>
    </row>
    <row r="180" spans="3:6" x14ac:dyDescent="0.25">
      <c r="C180" s="1"/>
      <c r="D180" s="1"/>
      <c r="E180" s="2"/>
      <c r="F180" s="2"/>
    </row>
    <row r="181" spans="3:6" x14ac:dyDescent="0.25">
      <c r="C181" s="1"/>
      <c r="D181" s="1"/>
      <c r="E181" s="2"/>
      <c r="F181" s="2"/>
    </row>
    <row r="182" spans="3:6" x14ac:dyDescent="0.25">
      <c r="C182" s="1"/>
      <c r="D182" s="1"/>
      <c r="E182" s="2"/>
      <c r="F182" s="2"/>
    </row>
    <row r="183" spans="3:6" x14ac:dyDescent="0.25">
      <c r="C183" s="1"/>
      <c r="D183" s="1"/>
      <c r="E183" s="2"/>
      <c r="F183" s="2"/>
    </row>
    <row r="184" spans="3:6" x14ac:dyDescent="0.25">
      <c r="C184" s="1"/>
      <c r="D184" s="1"/>
      <c r="E184" s="2"/>
      <c r="F184" s="2"/>
    </row>
    <row r="185" spans="3:6" x14ac:dyDescent="0.25">
      <c r="C185" s="1"/>
      <c r="D185" s="1"/>
      <c r="E185" s="2"/>
      <c r="F185" s="2"/>
    </row>
    <row r="186" spans="3:6" x14ac:dyDescent="0.25">
      <c r="C186" s="1"/>
      <c r="D186" s="1"/>
      <c r="E186" s="2"/>
      <c r="F186" s="2"/>
    </row>
    <row r="187" spans="3:6" x14ac:dyDescent="0.25">
      <c r="C187" s="1"/>
      <c r="D187" s="1"/>
      <c r="E187" s="2"/>
      <c r="F187" s="2"/>
    </row>
    <row r="188" spans="3:6" x14ac:dyDescent="0.25">
      <c r="C188" s="1"/>
      <c r="D188" s="1"/>
      <c r="E188" s="2"/>
      <c r="F188" s="2"/>
    </row>
    <row r="189" spans="3:6" x14ac:dyDescent="0.25">
      <c r="C189" s="1"/>
      <c r="D189" s="1"/>
      <c r="E189" s="2"/>
      <c r="F189" s="2"/>
    </row>
    <row r="190" spans="3:6" x14ac:dyDescent="0.25">
      <c r="C190" s="1"/>
      <c r="D190" s="1"/>
      <c r="E190" s="2"/>
      <c r="F190" s="2"/>
    </row>
    <row r="191" spans="3:6" x14ac:dyDescent="0.25">
      <c r="C191" s="1"/>
      <c r="D191" s="1"/>
      <c r="E191" s="2"/>
      <c r="F191" s="2"/>
    </row>
    <row r="192" spans="3:6" x14ac:dyDescent="0.25">
      <c r="C192" s="1"/>
      <c r="D192" s="1"/>
      <c r="E192" s="2"/>
      <c r="F192" s="2"/>
    </row>
    <row r="193" spans="3:6" x14ac:dyDescent="0.25">
      <c r="C193" s="1"/>
      <c r="D193" s="1"/>
      <c r="E193" s="2"/>
      <c r="F193" s="2"/>
    </row>
    <row r="194" spans="3:6" x14ac:dyDescent="0.25">
      <c r="C194" s="1"/>
      <c r="D194" s="1"/>
      <c r="E194" s="2"/>
      <c r="F194" s="2"/>
    </row>
    <row r="195" spans="3:6" x14ac:dyDescent="0.25">
      <c r="C195" s="1"/>
      <c r="D195" s="1"/>
      <c r="E195" s="2"/>
      <c r="F195" s="2"/>
    </row>
    <row r="196" spans="3:6" x14ac:dyDescent="0.25">
      <c r="C196" s="1"/>
      <c r="D196" s="1"/>
      <c r="E196" s="2"/>
      <c r="F196" s="2"/>
    </row>
    <row r="197" spans="3:6" x14ac:dyDescent="0.25">
      <c r="C197" s="1"/>
      <c r="D197" s="1"/>
      <c r="E197" s="2"/>
      <c r="F197" s="2"/>
    </row>
    <row r="198" spans="3:6" x14ac:dyDescent="0.25">
      <c r="C198" s="1"/>
      <c r="D198" s="1"/>
      <c r="E198" s="2"/>
      <c r="F198" s="2"/>
    </row>
    <row r="199" spans="3:6" x14ac:dyDescent="0.25">
      <c r="C199" s="1"/>
      <c r="D199" s="1"/>
      <c r="E199" s="2"/>
      <c r="F199" s="2"/>
    </row>
    <row r="200" spans="3:6" x14ac:dyDescent="0.25">
      <c r="C200" s="1"/>
      <c r="D200" s="1"/>
      <c r="E200" s="2"/>
      <c r="F200" s="2"/>
    </row>
    <row r="201" spans="3:6" x14ac:dyDescent="0.25">
      <c r="C201" s="1"/>
      <c r="D201" s="1"/>
      <c r="E201" s="2"/>
      <c r="F201" s="2"/>
    </row>
    <row r="202" spans="3:6" x14ac:dyDescent="0.25">
      <c r="C202" s="1"/>
      <c r="D202" s="1"/>
      <c r="E202" s="2"/>
      <c r="F202" s="2"/>
    </row>
    <row r="203" spans="3:6" x14ac:dyDescent="0.25">
      <c r="C203" s="1"/>
      <c r="D203" s="1"/>
      <c r="E203" s="2"/>
      <c r="F203" s="2"/>
    </row>
    <row r="204" spans="3:6" x14ac:dyDescent="0.25">
      <c r="C204" s="1"/>
      <c r="D204" s="1"/>
      <c r="E204" s="2"/>
      <c r="F204" s="2"/>
    </row>
    <row r="205" spans="3:6" x14ac:dyDescent="0.25">
      <c r="C205" s="1"/>
      <c r="D205" s="1"/>
      <c r="E205" s="2"/>
      <c r="F205" s="2"/>
    </row>
    <row r="206" spans="3:6" x14ac:dyDescent="0.25">
      <c r="C206" s="1"/>
      <c r="D206" s="1"/>
      <c r="E206" s="2"/>
      <c r="F206" s="2"/>
    </row>
    <row r="207" spans="3:6" x14ac:dyDescent="0.25">
      <c r="C207" s="1"/>
      <c r="D207" s="1"/>
      <c r="E207" s="2"/>
      <c r="F207" s="2"/>
    </row>
    <row r="208" spans="3:6" x14ac:dyDescent="0.25">
      <c r="C208" s="1"/>
      <c r="D208" s="1"/>
      <c r="E208" s="2"/>
      <c r="F208" s="2"/>
    </row>
    <row r="209" spans="3:6" x14ac:dyDescent="0.25">
      <c r="C209" s="1"/>
      <c r="D209" s="1"/>
      <c r="E209" s="2"/>
      <c r="F209" s="2"/>
    </row>
    <row r="210" spans="3:6" x14ac:dyDescent="0.25">
      <c r="C210" s="1"/>
      <c r="D210" s="1"/>
      <c r="E210" s="2"/>
      <c r="F210" s="2"/>
    </row>
    <row r="211" spans="3:6" x14ac:dyDescent="0.25">
      <c r="C211" s="1"/>
      <c r="D211" s="1"/>
      <c r="E211" s="2"/>
      <c r="F211" s="2"/>
    </row>
    <row r="212" spans="3:6" x14ac:dyDescent="0.25">
      <c r="C212" s="1"/>
      <c r="D212" s="1"/>
      <c r="E212" s="2"/>
      <c r="F212" s="2"/>
    </row>
    <row r="213" spans="3:6" x14ac:dyDescent="0.25">
      <c r="C213" s="1"/>
      <c r="D213" s="1"/>
      <c r="E213" s="2"/>
      <c r="F213" s="2"/>
    </row>
    <row r="214" spans="3:6" x14ac:dyDescent="0.25">
      <c r="C214" s="1"/>
      <c r="D214" s="1"/>
      <c r="E214" s="2"/>
      <c r="F214" s="2"/>
    </row>
    <row r="215" spans="3:6" x14ac:dyDescent="0.25">
      <c r="C215" s="1"/>
      <c r="D215" s="1"/>
      <c r="E215" s="2"/>
      <c r="F215" s="2"/>
    </row>
    <row r="216" spans="3:6" x14ac:dyDescent="0.25">
      <c r="C216" s="1"/>
      <c r="D216" s="1"/>
      <c r="E216" s="2"/>
      <c r="F216" s="2"/>
    </row>
    <row r="217" spans="3:6" x14ac:dyDescent="0.25">
      <c r="C217" s="1"/>
      <c r="D217" s="1"/>
      <c r="E217" s="2"/>
      <c r="F217" s="2"/>
    </row>
    <row r="218" spans="3:6" x14ac:dyDescent="0.25">
      <c r="C218" s="1"/>
      <c r="D218" s="1"/>
      <c r="E218" s="2"/>
      <c r="F218" s="2"/>
    </row>
    <row r="219" spans="3:6" x14ac:dyDescent="0.25">
      <c r="C219" s="1"/>
      <c r="D219" s="1"/>
      <c r="E219" s="2"/>
      <c r="F219" s="2"/>
    </row>
    <row r="220" spans="3:6" x14ac:dyDescent="0.25">
      <c r="C220" s="1"/>
      <c r="D220" s="1"/>
      <c r="E220" s="2"/>
      <c r="F220" s="2"/>
    </row>
    <row r="221" spans="3:6" x14ac:dyDescent="0.25">
      <c r="C221" s="1"/>
      <c r="D221" s="1"/>
      <c r="E221" s="2"/>
      <c r="F221" s="2"/>
    </row>
    <row r="222" spans="3:6" x14ac:dyDescent="0.25">
      <c r="C222" s="1"/>
      <c r="D222" s="1"/>
      <c r="E222" s="2"/>
      <c r="F222" s="2"/>
    </row>
    <row r="223" spans="3:6" x14ac:dyDescent="0.25">
      <c r="C223" s="1"/>
      <c r="D223" s="1"/>
      <c r="E223" s="2"/>
      <c r="F223" s="2"/>
    </row>
    <row r="224" spans="3:6" x14ac:dyDescent="0.25">
      <c r="C224" s="1"/>
      <c r="D224" s="1"/>
      <c r="E224" s="2"/>
      <c r="F224" s="2"/>
    </row>
    <row r="225" spans="3:6" x14ac:dyDescent="0.25">
      <c r="C225" s="1"/>
      <c r="D225" s="1"/>
      <c r="E225" s="2"/>
      <c r="F225" s="2"/>
    </row>
    <row r="226" spans="3:6" x14ac:dyDescent="0.25">
      <c r="C226" s="1"/>
      <c r="D226" s="1"/>
      <c r="E226" s="2"/>
      <c r="F226" s="2"/>
    </row>
    <row r="227" spans="3:6" x14ac:dyDescent="0.25">
      <c r="C227" s="1"/>
      <c r="D227" s="1"/>
      <c r="E227" s="2"/>
      <c r="F227" s="2"/>
    </row>
    <row r="228" spans="3:6" x14ac:dyDescent="0.25">
      <c r="C228" s="1"/>
      <c r="D228" s="1"/>
      <c r="E228" s="2"/>
      <c r="F228" s="2"/>
    </row>
    <row r="229" spans="3:6" x14ac:dyDescent="0.25">
      <c r="C229" s="1"/>
      <c r="D229" s="1"/>
      <c r="E229" s="2"/>
      <c r="F229" s="2"/>
    </row>
    <row r="230" spans="3:6" x14ac:dyDescent="0.25">
      <c r="C230" s="1"/>
      <c r="D230" s="1"/>
      <c r="E230" s="2"/>
      <c r="F230" s="2"/>
    </row>
    <row r="231" spans="3:6" x14ac:dyDescent="0.25">
      <c r="C231" s="1"/>
      <c r="D231" s="1"/>
      <c r="E231" s="2"/>
      <c r="F231" s="2"/>
    </row>
    <row r="232" spans="3:6" x14ac:dyDescent="0.25">
      <c r="C232" s="1"/>
      <c r="D232" s="1"/>
      <c r="E232" s="2"/>
      <c r="F232" s="2"/>
    </row>
    <row r="233" spans="3:6" x14ac:dyDescent="0.25">
      <c r="C233" s="1"/>
      <c r="D233" s="1"/>
      <c r="E233" s="2"/>
      <c r="F233" s="2"/>
    </row>
    <row r="234" spans="3:6" x14ac:dyDescent="0.25">
      <c r="C234" s="1"/>
      <c r="D234" s="1"/>
      <c r="E234" s="2"/>
      <c r="F234" s="2"/>
    </row>
    <row r="235" spans="3:6" x14ac:dyDescent="0.25">
      <c r="C235" s="1"/>
      <c r="D235" s="1"/>
      <c r="E235" s="2"/>
      <c r="F235" s="2"/>
    </row>
    <row r="236" spans="3:6" x14ac:dyDescent="0.25">
      <c r="C236" s="1"/>
      <c r="D236" s="1"/>
      <c r="E236" s="2"/>
      <c r="F236" s="2"/>
    </row>
    <row r="237" spans="3:6" x14ac:dyDescent="0.25">
      <c r="C237" s="1"/>
      <c r="D237" s="1"/>
      <c r="E237" s="2"/>
      <c r="F237" s="2"/>
    </row>
    <row r="238" spans="3:6" x14ac:dyDescent="0.25">
      <c r="C238" s="1"/>
      <c r="D238" s="1"/>
      <c r="E238" s="2"/>
      <c r="F238" s="2"/>
    </row>
    <row r="239" spans="3:6" x14ac:dyDescent="0.25">
      <c r="C239" s="1"/>
      <c r="D239" s="1"/>
      <c r="E239" s="2"/>
      <c r="F239" s="2"/>
    </row>
    <row r="240" spans="3:6" x14ac:dyDescent="0.25">
      <c r="C240" s="1"/>
      <c r="D240" s="1"/>
      <c r="E240" s="2"/>
      <c r="F240" s="2"/>
    </row>
    <row r="241" spans="3:6" x14ac:dyDescent="0.25">
      <c r="C241" s="1"/>
      <c r="D241" s="1"/>
      <c r="E241" s="2"/>
      <c r="F241" s="2"/>
    </row>
    <row r="242" spans="3:6" x14ac:dyDescent="0.25">
      <c r="C242" s="1"/>
      <c r="D242" s="1"/>
      <c r="E242" s="2"/>
      <c r="F242" s="2"/>
    </row>
    <row r="243" spans="3:6" x14ac:dyDescent="0.25">
      <c r="C243" s="1"/>
      <c r="D243" s="1"/>
      <c r="E243" s="2"/>
      <c r="F243" s="2"/>
    </row>
    <row r="244" spans="3:6" x14ac:dyDescent="0.25">
      <c r="C244" s="1"/>
      <c r="D244" s="1"/>
      <c r="E244" s="2"/>
      <c r="F244" s="2"/>
    </row>
    <row r="245" spans="3:6" x14ac:dyDescent="0.25">
      <c r="C245" s="1"/>
      <c r="D245" s="1"/>
      <c r="E245" s="2"/>
      <c r="F245" s="2"/>
    </row>
    <row r="246" spans="3:6" x14ac:dyDescent="0.25">
      <c r="C246" s="1"/>
      <c r="D246" s="1"/>
      <c r="E246" s="2"/>
      <c r="F246" s="2"/>
    </row>
    <row r="247" spans="3:6" x14ac:dyDescent="0.25">
      <c r="C247" s="1"/>
      <c r="D247" s="1"/>
      <c r="E247" s="2"/>
      <c r="F247" s="2"/>
    </row>
    <row r="248" spans="3:6" x14ac:dyDescent="0.25">
      <c r="C248" s="1"/>
      <c r="D248" s="1"/>
      <c r="E248" s="2"/>
      <c r="F248" s="2"/>
    </row>
    <row r="249" spans="3:6" x14ac:dyDescent="0.25">
      <c r="C249" s="1"/>
      <c r="D249" s="1"/>
      <c r="E249" s="2"/>
      <c r="F249" s="2"/>
    </row>
    <row r="250" spans="3:6" x14ac:dyDescent="0.25">
      <c r="C250" s="1"/>
      <c r="D250" s="1"/>
      <c r="E250" s="2"/>
      <c r="F250" s="2"/>
    </row>
    <row r="251" spans="3:6" x14ac:dyDescent="0.25">
      <c r="C251" s="1"/>
      <c r="D251" s="1"/>
      <c r="E251" s="2"/>
      <c r="F251" s="2"/>
    </row>
    <row r="252" spans="3:6" x14ac:dyDescent="0.25">
      <c r="C252" s="1"/>
      <c r="D252" s="1"/>
      <c r="E252" s="2"/>
      <c r="F252" s="2"/>
    </row>
    <row r="253" spans="3:6" x14ac:dyDescent="0.25">
      <c r="C253" s="1"/>
      <c r="D253" s="1"/>
      <c r="E253" s="2"/>
      <c r="F253" s="2"/>
    </row>
    <row r="254" spans="3:6" x14ac:dyDescent="0.25">
      <c r="C254" s="1"/>
      <c r="D254" s="1"/>
      <c r="E254" s="2"/>
      <c r="F254" s="2"/>
    </row>
    <row r="255" spans="3:6" x14ac:dyDescent="0.25">
      <c r="C255" s="1"/>
      <c r="D255" s="1"/>
      <c r="E255" s="2"/>
      <c r="F255" s="2"/>
    </row>
    <row r="256" spans="3:6" x14ac:dyDescent="0.25">
      <c r="C256" s="1"/>
      <c r="D256" s="1"/>
      <c r="E256" s="2"/>
      <c r="F256" s="2"/>
    </row>
    <row r="257" spans="3:6" x14ac:dyDescent="0.25">
      <c r="C257" s="1"/>
      <c r="D257" s="1"/>
      <c r="E257" s="2"/>
      <c r="F257" s="2"/>
    </row>
    <row r="258" spans="3:6" x14ac:dyDescent="0.25">
      <c r="C258" s="1"/>
      <c r="D258" s="1"/>
      <c r="E258" s="2"/>
      <c r="F258" s="2"/>
    </row>
    <row r="259" spans="3:6" x14ac:dyDescent="0.25">
      <c r="C259" s="1"/>
      <c r="D259" s="1"/>
      <c r="E259" s="2"/>
      <c r="F259" s="2"/>
    </row>
    <row r="260" spans="3:6" x14ac:dyDescent="0.25">
      <c r="C260" s="1"/>
      <c r="D260" s="1"/>
      <c r="E260" s="2"/>
      <c r="F260" s="2"/>
    </row>
    <row r="261" spans="3:6" x14ac:dyDescent="0.25">
      <c r="C261" s="1"/>
      <c r="D261" s="1"/>
      <c r="E261" s="2"/>
      <c r="F261" s="2"/>
    </row>
    <row r="262" spans="3:6" x14ac:dyDescent="0.25">
      <c r="C262" s="1"/>
      <c r="D262" s="1"/>
      <c r="E262" s="2"/>
      <c r="F262" s="2"/>
    </row>
    <row r="263" spans="3:6" x14ac:dyDescent="0.25">
      <c r="C263" s="1"/>
      <c r="D263" s="1"/>
      <c r="E263" s="2"/>
      <c r="F263" s="2"/>
    </row>
    <row r="264" spans="3:6" x14ac:dyDescent="0.25">
      <c r="C264" s="1"/>
      <c r="D264" s="1"/>
      <c r="E264" s="2"/>
      <c r="F264" s="2"/>
    </row>
    <row r="265" spans="3:6" x14ac:dyDescent="0.25">
      <c r="C265" s="1"/>
      <c r="D265" s="1"/>
      <c r="E265" s="2"/>
      <c r="F265" s="2"/>
    </row>
    <row r="266" spans="3:6" x14ac:dyDescent="0.25">
      <c r="C266" s="1"/>
      <c r="D266" s="1"/>
      <c r="E266" s="2"/>
      <c r="F266" s="2"/>
    </row>
    <row r="267" spans="3:6" x14ac:dyDescent="0.25">
      <c r="C267" s="1"/>
      <c r="D267" s="1"/>
      <c r="E267" s="2"/>
      <c r="F267" s="2"/>
    </row>
    <row r="268" spans="3:6" x14ac:dyDescent="0.25">
      <c r="C268" s="1"/>
      <c r="D268" s="1"/>
      <c r="E268" s="2"/>
      <c r="F268" s="2"/>
    </row>
    <row r="269" spans="3:6" x14ac:dyDescent="0.25">
      <c r="C269" s="1"/>
      <c r="D269" s="1"/>
      <c r="E269" s="2"/>
      <c r="F269" s="2"/>
    </row>
    <row r="270" spans="3:6" x14ac:dyDescent="0.25">
      <c r="C270" s="1"/>
      <c r="D270" s="1"/>
      <c r="E270" s="2"/>
      <c r="F270" s="2"/>
    </row>
    <row r="271" spans="3:6" x14ac:dyDescent="0.25">
      <c r="C271" s="1"/>
      <c r="D271" s="1"/>
      <c r="E271" s="2"/>
      <c r="F271" s="2"/>
    </row>
    <row r="272" spans="3:6" x14ac:dyDescent="0.25">
      <c r="C272" s="1"/>
      <c r="D272" s="1"/>
      <c r="E272" s="2"/>
      <c r="F272" s="2"/>
    </row>
    <row r="273" spans="3:6" x14ac:dyDescent="0.25">
      <c r="C273" s="1"/>
      <c r="D273" s="1"/>
      <c r="E273" s="2"/>
      <c r="F273" s="2"/>
    </row>
    <row r="274" spans="3:6" x14ac:dyDescent="0.25">
      <c r="C274" s="1"/>
      <c r="D274" s="1"/>
      <c r="E274" s="2"/>
      <c r="F274" s="2"/>
    </row>
    <row r="275" spans="3:6" x14ac:dyDescent="0.25">
      <c r="C275" s="1"/>
      <c r="D275" s="1"/>
      <c r="E275" s="2"/>
      <c r="F275" s="2"/>
    </row>
    <row r="276" spans="3:6" x14ac:dyDescent="0.25">
      <c r="C276" s="1"/>
      <c r="D276" s="1"/>
      <c r="E276" s="2"/>
      <c r="F276" s="2"/>
    </row>
    <row r="277" spans="3:6" x14ac:dyDescent="0.25">
      <c r="C277" s="1"/>
      <c r="D277" s="1"/>
      <c r="E277" s="2"/>
      <c r="F277" s="2"/>
    </row>
    <row r="278" spans="3:6" x14ac:dyDescent="0.25">
      <c r="C278" s="1"/>
      <c r="D278" s="1"/>
      <c r="E278" s="2"/>
      <c r="F278" s="2"/>
    </row>
    <row r="279" spans="3:6" x14ac:dyDescent="0.25">
      <c r="C279" s="1"/>
      <c r="D279" s="1"/>
      <c r="E279" s="2"/>
      <c r="F279" s="2"/>
    </row>
    <row r="280" spans="3:6" x14ac:dyDescent="0.25">
      <c r="C280" s="1"/>
      <c r="D280" s="1"/>
      <c r="E280" s="2"/>
      <c r="F280" s="2"/>
    </row>
    <row r="281" spans="3:6" x14ac:dyDescent="0.25">
      <c r="C281" s="1"/>
      <c r="D281" s="1"/>
      <c r="E281" s="2"/>
      <c r="F281" s="2"/>
    </row>
    <row r="282" spans="3:6" x14ac:dyDescent="0.25">
      <c r="C282" s="1"/>
      <c r="D282" s="1"/>
      <c r="E282" s="2"/>
      <c r="F282" s="2"/>
    </row>
    <row r="283" spans="3:6" x14ac:dyDescent="0.25">
      <c r="C283" s="1"/>
      <c r="D283" s="1"/>
      <c r="E283" s="2"/>
      <c r="F283" s="2"/>
    </row>
    <row r="284" spans="3:6" x14ac:dyDescent="0.25">
      <c r="C284" s="1"/>
      <c r="D284" s="1"/>
      <c r="E284" s="2"/>
      <c r="F284" s="2"/>
    </row>
    <row r="285" spans="3:6" x14ac:dyDescent="0.25">
      <c r="C285" s="1"/>
      <c r="D285" s="1"/>
      <c r="E285" s="2"/>
      <c r="F285" s="2"/>
    </row>
    <row r="286" spans="3:6" x14ac:dyDescent="0.25">
      <c r="C286" s="1"/>
      <c r="D286" s="1"/>
      <c r="E286" s="2"/>
      <c r="F286" s="2"/>
    </row>
    <row r="287" spans="3:6" x14ac:dyDescent="0.25">
      <c r="C287" s="1"/>
      <c r="D287" s="1"/>
      <c r="E287" s="2"/>
      <c r="F287" s="2"/>
    </row>
    <row r="288" spans="3:6" x14ac:dyDescent="0.25">
      <c r="C288" s="1"/>
      <c r="D288" s="1"/>
      <c r="E288" s="2"/>
      <c r="F288" s="2"/>
    </row>
    <row r="289" spans="3:6" x14ac:dyDescent="0.25">
      <c r="C289" s="1"/>
      <c r="D289" s="1"/>
      <c r="E289" s="2"/>
      <c r="F289" s="2"/>
    </row>
    <row r="290" spans="3:6" x14ac:dyDescent="0.25">
      <c r="C290" s="1"/>
      <c r="D290" s="1"/>
      <c r="E290" s="2"/>
      <c r="F290" s="2"/>
    </row>
    <row r="291" spans="3:6" x14ac:dyDescent="0.25">
      <c r="C291" s="1"/>
      <c r="D291" s="1"/>
      <c r="E291" s="2"/>
      <c r="F291" s="2"/>
    </row>
    <row r="292" spans="3:6" x14ac:dyDescent="0.25">
      <c r="C292" s="1"/>
      <c r="D292" s="1"/>
      <c r="E292" s="2"/>
      <c r="F292" s="2"/>
    </row>
    <row r="293" spans="3:6" x14ac:dyDescent="0.25">
      <c r="C293" s="1"/>
      <c r="D293" s="1"/>
      <c r="E293" s="2"/>
      <c r="F293" s="2"/>
    </row>
    <row r="294" spans="3:6" x14ac:dyDescent="0.25">
      <c r="C294" s="1"/>
      <c r="D294" s="1"/>
      <c r="E294" s="2"/>
      <c r="F294" s="2"/>
    </row>
    <row r="295" spans="3:6" x14ac:dyDescent="0.25">
      <c r="C295" s="1"/>
      <c r="D295" s="1"/>
      <c r="E295" s="2"/>
      <c r="F295" s="2"/>
    </row>
    <row r="296" spans="3:6" x14ac:dyDescent="0.25">
      <c r="C296" s="1"/>
      <c r="D296" s="1"/>
      <c r="E296" s="2"/>
      <c r="F296" s="2"/>
    </row>
    <row r="297" spans="3:6" x14ac:dyDescent="0.25">
      <c r="C297" s="1"/>
      <c r="D297" s="1"/>
      <c r="E297" s="2"/>
      <c r="F297" s="2"/>
    </row>
    <row r="298" spans="3:6" x14ac:dyDescent="0.25">
      <c r="C298" s="1"/>
      <c r="D298" s="1"/>
      <c r="E298" s="2"/>
      <c r="F298" s="2"/>
    </row>
    <row r="299" spans="3:6" x14ac:dyDescent="0.25">
      <c r="C299" s="1"/>
      <c r="D299" s="1"/>
      <c r="E299" s="2"/>
      <c r="F299" s="2"/>
    </row>
    <row r="300" spans="3:6" x14ac:dyDescent="0.25">
      <c r="C300" s="1"/>
      <c r="D300" s="1"/>
      <c r="E300" s="2"/>
      <c r="F300" s="2"/>
    </row>
    <row r="301" spans="3:6" x14ac:dyDescent="0.25">
      <c r="C301" s="1"/>
      <c r="D301" s="1"/>
      <c r="E301" s="2"/>
      <c r="F301" s="2"/>
    </row>
    <row r="302" spans="3:6" x14ac:dyDescent="0.25">
      <c r="C302" s="1"/>
      <c r="D302" s="1"/>
      <c r="E302" s="2"/>
      <c r="F302" s="2"/>
    </row>
    <row r="303" spans="3:6" x14ac:dyDescent="0.25">
      <c r="C303" s="1"/>
      <c r="D303" s="1"/>
      <c r="E303" s="2"/>
      <c r="F303" s="2"/>
    </row>
    <row r="304" spans="3:6" x14ac:dyDescent="0.25">
      <c r="C304" s="1"/>
      <c r="D304" s="1"/>
      <c r="E304" s="2"/>
      <c r="F304" s="2"/>
    </row>
    <row r="305" spans="3:6" x14ac:dyDescent="0.25">
      <c r="C305" s="1"/>
      <c r="D305" s="1"/>
      <c r="E305" s="2"/>
      <c r="F305" s="2"/>
    </row>
    <row r="306" spans="3:6" x14ac:dyDescent="0.25">
      <c r="C306" s="1"/>
      <c r="D306" s="1"/>
      <c r="E306" s="2"/>
      <c r="F306" s="2"/>
    </row>
    <row r="307" spans="3:6" x14ac:dyDescent="0.25">
      <c r="C307" s="1"/>
      <c r="D307" s="1"/>
      <c r="E307" s="2"/>
      <c r="F307" s="2"/>
    </row>
    <row r="308" spans="3:6" x14ac:dyDescent="0.25">
      <c r="C308" s="1"/>
      <c r="D308" s="1"/>
      <c r="E308" s="2"/>
      <c r="F308" s="2"/>
    </row>
    <row r="309" spans="3:6" x14ac:dyDescent="0.25">
      <c r="C309" s="1"/>
      <c r="D309" s="1"/>
      <c r="E309" s="2"/>
      <c r="F309" s="2"/>
    </row>
    <row r="310" spans="3:6" x14ac:dyDescent="0.25">
      <c r="C310" s="1"/>
      <c r="D310" s="1"/>
      <c r="E310" s="2"/>
      <c r="F310" s="2"/>
    </row>
    <row r="311" spans="3:6" x14ac:dyDescent="0.25">
      <c r="C311" s="1"/>
      <c r="D311" s="1"/>
      <c r="E311" s="2"/>
      <c r="F311" s="2"/>
    </row>
    <row r="312" spans="3:6" x14ac:dyDescent="0.25">
      <c r="C312" s="1"/>
      <c r="D312" s="1"/>
      <c r="E312" s="2"/>
      <c r="F312" s="2"/>
    </row>
    <row r="313" spans="3:6" x14ac:dyDescent="0.25">
      <c r="C313" s="1"/>
      <c r="D313" s="1"/>
      <c r="E313" s="2"/>
      <c r="F313" s="2"/>
    </row>
    <row r="314" spans="3:6" x14ac:dyDescent="0.25">
      <c r="C314" s="1"/>
      <c r="D314" s="1"/>
      <c r="E314" s="2"/>
      <c r="F314" s="2"/>
    </row>
    <row r="315" spans="3:6" x14ac:dyDescent="0.25">
      <c r="C315" s="1"/>
      <c r="D315" s="1"/>
      <c r="E315" s="2"/>
      <c r="F315" s="2"/>
    </row>
    <row r="316" spans="3:6" x14ac:dyDescent="0.25">
      <c r="C316" s="1"/>
      <c r="D316" s="1"/>
      <c r="E316" s="2"/>
      <c r="F316" s="2"/>
    </row>
    <row r="317" spans="3:6" x14ac:dyDescent="0.25">
      <c r="C317" s="1"/>
      <c r="D317" s="1"/>
      <c r="E317" s="2"/>
      <c r="F317" s="2"/>
    </row>
    <row r="318" spans="3:6" x14ac:dyDescent="0.25">
      <c r="C318" s="1"/>
      <c r="D318" s="1"/>
      <c r="E318" s="2"/>
      <c r="F318" s="2"/>
    </row>
    <row r="319" spans="3:6" x14ac:dyDescent="0.25">
      <c r="C319" s="1"/>
      <c r="D319" s="1"/>
      <c r="E319" s="2"/>
      <c r="F319" s="2"/>
    </row>
    <row r="320" spans="3:6" x14ac:dyDescent="0.25">
      <c r="C320" s="1"/>
      <c r="D320" s="1"/>
      <c r="E320" s="2"/>
      <c r="F320" s="2"/>
    </row>
    <row r="321" spans="3:6" x14ac:dyDescent="0.25">
      <c r="C321" s="1"/>
      <c r="D321" s="1"/>
      <c r="E321" s="2"/>
      <c r="F321" s="2"/>
    </row>
    <row r="322" spans="3:6" x14ac:dyDescent="0.25">
      <c r="C322" s="1"/>
      <c r="D322" s="1"/>
      <c r="E322" s="2"/>
      <c r="F322" s="2"/>
    </row>
    <row r="323" spans="3:6" x14ac:dyDescent="0.25">
      <c r="C323" s="1"/>
      <c r="D323" s="1"/>
      <c r="E323" s="2"/>
      <c r="F323" s="2"/>
    </row>
    <row r="324" spans="3:6" x14ac:dyDescent="0.25">
      <c r="C324" s="1"/>
      <c r="D324" s="1"/>
      <c r="E324" s="2"/>
      <c r="F324" s="2"/>
    </row>
    <row r="325" spans="3:6" x14ac:dyDescent="0.25">
      <c r="C325" s="1"/>
      <c r="D325" s="1"/>
      <c r="E325" s="2"/>
      <c r="F325" s="2"/>
    </row>
    <row r="326" spans="3:6" x14ac:dyDescent="0.25">
      <c r="C326" s="1"/>
      <c r="D326" s="1"/>
      <c r="E326" s="2"/>
      <c r="F326" s="2"/>
    </row>
    <row r="327" spans="3:6" x14ac:dyDescent="0.25">
      <c r="C327" s="1"/>
      <c r="D327" s="1"/>
      <c r="E327" s="2"/>
      <c r="F327" s="2"/>
    </row>
    <row r="328" spans="3:6" x14ac:dyDescent="0.25">
      <c r="C328" s="1"/>
      <c r="D328" s="1"/>
      <c r="E328" s="2"/>
      <c r="F328" s="2"/>
    </row>
    <row r="329" spans="3:6" x14ac:dyDescent="0.25">
      <c r="C329" s="1"/>
      <c r="D329" s="1"/>
      <c r="E329" s="2"/>
      <c r="F329" s="2"/>
    </row>
    <row r="330" spans="3:6" x14ac:dyDescent="0.25">
      <c r="C330" s="1"/>
      <c r="D330" s="1"/>
      <c r="E330" s="2"/>
      <c r="F330" s="2"/>
    </row>
    <row r="331" spans="3:6" x14ac:dyDescent="0.25">
      <c r="C331" s="1"/>
      <c r="D331" s="1"/>
      <c r="E331" s="2"/>
      <c r="F331" s="2"/>
    </row>
    <row r="332" spans="3:6" x14ac:dyDescent="0.25">
      <c r="C332" s="1"/>
      <c r="D332" s="1"/>
      <c r="E332" s="2"/>
      <c r="F332" s="2"/>
    </row>
    <row r="333" spans="3:6" x14ac:dyDescent="0.25">
      <c r="C333" s="1"/>
      <c r="D333" s="1"/>
      <c r="E333" s="2"/>
      <c r="F333" s="2"/>
    </row>
    <row r="334" spans="3:6" x14ac:dyDescent="0.25">
      <c r="C334" s="1"/>
      <c r="D334" s="1"/>
      <c r="E334" s="2"/>
      <c r="F334" s="2"/>
    </row>
    <row r="335" spans="3:6" x14ac:dyDescent="0.25">
      <c r="C335" s="1"/>
      <c r="D335" s="1"/>
      <c r="E335" s="2"/>
      <c r="F335" s="2"/>
    </row>
    <row r="336" spans="3:6" x14ac:dyDescent="0.25">
      <c r="C336" s="1"/>
      <c r="D336" s="1"/>
      <c r="E336" s="2"/>
      <c r="F336" s="2"/>
    </row>
    <row r="337" spans="3:6" x14ac:dyDescent="0.25">
      <c r="C337" s="1"/>
      <c r="D337" s="1"/>
      <c r="E337" s="2"/>
      <c r="F337" s="2"/>
    </row>
    <row r="338" spans="3:6" x14ac:dyDescent="0.25">
      <c r="C338" s="1"/>
      <c r="D338" s="1"/>
      <c r="E338" s="2"/>
      <c r="F338" s="2"/>
    </row>
    <row r="339" spans="3:6" x14ac:dyDescent="0.25">
      <c r="C339" s="1"/>
      <c r="D339" s="1"/>
      <c r="E339" s="2"/>
      <c r="F339" s="2"/>
    </row>
    <row r="340" spans="3:6" x14ac:dyDescent="0.25">
      <c r="C340" s="1"/>
      <c r="D340" s="1"/>
      <c r="E340" s="2"/>
      <c r="F340" s="2"/>
    </row>
    <row r="341" spans="3:6" x14ac:dyDescent="0.25">
      <c r="C341" s="1"/>
      <c r="D341" s="1"/>
      <c r="E341" s="2"/>
      <c r="F341" s="2"/>
    </row>
    <row r="342" spans="3:6" x14ac:dyDescent="0.25">
      <c r="C342" s="1"/>
      <c r="D342" s="1"/>
      <c r="E342" s="2"/>
      <c r="F342" s="2"/>
    </row>
    <row r="343" spans="3:6" x14ac:dyDescent="0.25">
      <c r="C343" s="1"/>
      <c r="D343" s="1"/>
      <c r="E343" s="2"/>
      <c r="F343" s="2"/>
    </row>
    <row r="344" spans="3:6" x14ac:dyDescent="0.25">
      <c r="C344" s="1"/>
      <c r="D344" s="1"/>
      <c r="E344" s="2"/>
      <c r="F344" s="2"/>
    </row>
    <row r="345" spans="3:6" x14ac:dyDescent="0.25">
      <c r="C345" s="1"/>
      <c r="D345" s="1"/>
      <c r="E345" s="2"/>
      <c r="F345" s="2"/>
    </row>
    <row r="346" spans="3:6" x14ac:dyDescent="0.25">
      <c r="C346" s="1"/>
      <c r="D346" s="1"/>
      <c r="E346" s="2"/>
      <c r="F346" s="2"/>
    </row>
    <row r="347" spans="3:6" x14ac:dyDescent="0.25">
      <c r="C347" s="1"/>
      <c r="D347" s="1"/>
      <c r="E347" s="2"/>
      <c r="F347" s="2"/>
    </row>
    <row r="348" spans="3:6" x14ac:dyDescent="0.25">
      <c r="C348" s="1"/>
      <c r="D348" s="1"/>
      <c r="E348" s="2"/>
      <c r="F348" s="2"/>
    </row>
    <row r="349" spans="3:6" x14ac:dyDescent="0.25">
      <c r="C349" s="1"/>
      <c r="D349" s="1"/>
      <c r="E349" s="2"/>
      <c r="F349" s="2"/>
    </row>
    <row r="350" spans="3:6" x14ac:dyDescent="0.25">
      <c r="C350" s="1"/>
      <c r="D350" s="1"/>
      <c r="E350" s="2"/>
      <c r="F350" s="2"/>
    </row>
    <row r="351" spans="3:6" x14ac:dyDescent="0.25">
      <c r="C351" s="1"/>
      <c r="D351" s="1"/>
      <c r="E351" s="2"/>
      <c r="F351" s="2"/>
    </row>
    <row r="352" spans="3:6" x14ac:dyDescent="0.25">
      <c r="C352" s="1"/>
      <c r="D352" s="1"/>
      <c r="E352" s="2"/>
      <c r="F352" s="2"/>
    </row>
    <row r="353" spans="3:6" x14ac:dyDescent="0.25">
      <c r="C353" s="1"/>
      <c r="D353" s="1"/>
      <c r="E353" s="2"/>
      <c r="F353" s="2"/>
    </row>
    <row r="354" spans="3:6" x14ac:dyDescent="0.25">
      <c r="C354" s="1"/>
      <c r="D354" s="1"/>
      <c r="E354" s="2"/>
      <c r="F354" s="2"/>
    </row>
    <row r="355" spans="3:6" x14ac:dyDescent="0.25">
      <c r="C355" s="1"/>
      <c r="D355" s="1"/>
      <c r="E355" s="2"/>
      <c r="F355" s="2"/>
    </row>
    <row r="356" spans="3:6" x14ac:dyDescent="0.25">
      <c r="C356" s="1"/>
      <c r="D356" s="1"/>
      <c r="E356" s="2"/>
      <c r="F356" s="2"/>
    </row>
    <row r="357" spans="3:6" x14ac:dyDescent="0.25">
      <c r="C357" s="1"/>
      <c r="D357" s="1"/>
      <c r="E357" s="2"/>
      <c r="F357" s="2"/>
    </row>
    <row r="358" spans="3:6" x14ac:dyDescent="0.25">
      <c r="C358" s="1"/>
      <c r="D358" s="1"/>
      <c r="E358" s="2"/>
      <c r="F358" s="2"/>
    </row>
    <row r="359" spans="3:6" x14ac:dyDescent="0.25">
      <c r="C359" s="1"/>
      <c r="D359" s="1"/>
      <c r="E359" s="2"/>
      <c r="F359" s="2"/>
    </row>
    <row r="360" spans="3:6" x14ac:dyDescent="0.25">
      <c r="C360" s="1"/>
      <c r="D360" s="1"/>
      <c r="E360" s="2"/>
      <c r="F360" s="2"/>
    </row>
    <row r="361" spans="3:6" x14ac:dyDescent="0.25">
      <c r="C361" s="1"/>
      <c r="D361" s="1"/>
      <c r="E361" s="2"/>
      <c r="F361" s="2"/>
    </row>
    <row r="362" spans="3:6" x14ac:dyDescent="0.25">
      <c r="C362" s="1"/>
      <c r="D362" s="1"/>
      <c r="E362" s="2"/>
      <c r="F362" s="2"/>
    </row>
    <row r="363" spans="3:6" x14ac:dyDescent="0.25">
      <c r="C363" s="1"/>
      <c r="D363" s="1"/>
      <c r="E363" s="2"/>
      <c r="F363" s="2"/>
    </row>
    <row r="364" spans="3:6" x14ac:dyDescent="0.25">
      <c r="C364" s="1"/>
      <c r="D364" s="1"/>
      <c r="E364" s="2"/>
      <c r="F364" s="2"/>
    </row>
    <row r="365" spans="3:6" x14ac:dyDescent="0.25">
      <c r="C365" s="1"/>
      <c r="D365" s="1"/>
      <c r="E365" s="2"/>
      <c r="F365" s="2"/>
    </row>
    <row r="366" spans="3:6" x14ac:dyDescent="0.25">
      <c r="C366" s="1"/>
      <c r="D366" s="1"/>
      <c r="E366" s="2"/>
      <c r="F366" s="2"/>
    </row>
    <row r="367" spans="3:6" x14ac:dyDescent="0.25">
      <c r="C367" s="1"/>
      <c r="D367" s="1"/>
      <c r="E367" s="2"/>
      <c r="F367" s="2"/>
    </row>
    <row r="368" spans="3:6" x14ac:dyDescent="0.25">
      <c r="C368" s="1"/>
      <c r="D368" s="1"/>
      <c r="E368" s="2"/>
      <c r="F368" s="2"/>
    </row>
    <row r="369" spans="3:6" x14ac:dyDescent="0.25">
      <c r="C369" s="1"/>
      <c r="D369" s="1"/>
      <c r="E369" s="2"/>
      <c r="F369" s="2"/>
    </row>
    <row r="370" spans="3:6" x14ac:dyDescent="0.25">
      <c r="C370" s="1"/>
      <c r="D370" s="1"/>
      <c r="E370" s="2"/>
      <c r="F370" s="2"/>
    </row>
    <row r="371" spans="3:6" x14ac:dyDescent="0.25">
      <c r="C371" s="1"/>
      <c r="D371" s="1"/>
      <c r="E371" s="2"/>
      <c r="F371" s="2"/>
    </row>
    <row r="372" spans="3:6" x14ac:dyDescent="0.25">
      <c r="C372" s="1"/>
      <c r="D372" s="1"/>
      <c r="E372" s="2"/>
      <c r="F372" s="2"/>
    </row>
    <row r="373" spans="3:6" x14ac:dyDescent="0.25">
      <c r="C373" s="1"/>
      <c r="D373" s="1"/>
      <c r="E373" s="2"/>
      <c r="F373" s="2"/>
    </row>
    <row r="374" spans="3:6" x14ac:dyDescent="0.25">
      <c r="C374" s="1"/>
      <c r="D374" s="1"/>
      <c r="E374" s="2"/>
      <c r="F374" s="2"/>
    </row>
    <row r="375" spans="3:6" x14ac:dyDescent="0.25">
      <c r="C375" s="1"/>
      <c r="D375" s="1"/>
      <c r="E375" s="2"/>
      <c r="F375" s="2"/>
    </row>
    <row r="376" spans="3:6" x14ac:dyDescent="0.25">
      <c r="C376" s="1"/>
      <c r="D376" s="1"/>
      <c r="E376" s="2"/>
      <c r="F376" s="2"/>
    </row>
    <row r="377" spans="3:6" x14ac:dyDescent="0.25">
      <c r="C377" s="1"/>
      <c r="D377" s="1"/>
      <c r="E377" s="2"/>
      <c r="F377" s="2"/>
    </row>
    <row r="378" spans="3:6" x14ac:dyDescent="0.25">
      <c r="C378" s="1"/>
      <c r="D378" s="1"/>
      <c r="E378" s="2"/>
      <c r="F378" s="2"/>
    </row>
    <row r="379" spans="3:6" x14ac:dyDescent="0.25">
      <c r="C379" s="1"/>
      <c r="D379" s="1"/>
      <c r="E379" s="2"/>
      <c r="F379" s="2"/>
    </row>
    <row r="380" spans="3:6" x14ac:dyDescent="0.25">
      <c r="C380" s="1"/>
      <c r="D380" s="1"/>
      <c r="E380" s="2"/>
      <c r="F380" s="2"/>
    </row>
    <row r="381" spans="3:6" x14ac:dyDescent="0.25">
      <c r="C381" s="1"/>
      <c r="D381" s="1"/>
      <c r="E381" s="2"/>
      <c r="F381" s="2"/>
    </row>
    <row r="382" spans="3:6" x14ac:dyDescent="0.25">
      <c r="C382" s="1"/>
      <c r="D382" s="1"/>
      <c r="E382" s="2"/>
      <c r="F382" s="2"/>
    </row>
    <row r="383" spans="3:6" x14ac:dyDescent="0.25">
      <c r="C383" s="1"/>
      <c r="D383" s="1"/>
      <c r="E383" s="2"/>
      <c r="F383" s="2"/>
    </row>
    <row r="384" spans="3:6" x14ac:dyDescent="0.25">
      <c r="C384" s="1"/>
      <c r="D384" s="1"/>
      <c r="E384" s="2"/>
      <c r="F384" s="2"/>
    </row>
    <row r="385" spans="3:6" x14ac:dyDescent="0.25">
      <c r="C385" s="1"/>
      <c r="D385" s="1"/>
      <c r="E385" s="2"/>
      <c r="F385" s="2"/>
    </row>
    <row r="386" spans="3:6" x14ac:dyDescent="0.25">
      <c r="C386" s="1"/>
      <c r="D386" s="1"/>
      <c r="E386" s="2"/>
      <c r="F386" s="2"/>
    </row>
    <row r="387" spans="3:6" x14ac:dyDescent="0.25">
      <c r="C387" s="1"/>
      <c r="D387" s="1"/>
      <c r="E387" s="2"/>
      <c r="F387" s="2"/>
    </row>
    <row r="388" spans="3:6" x14ac:dyDescent="0.25">
      <c r="C388" s="1"/>
      <c r="D388" s="1"/>
      <c r="E388" s="2"/>
      <c r="F388" s="2"/>
    </row>
    <row r="389" spans="3:6" x14ac:dyDescent="0.25">
      <c r="C389" s="1"/>
      <c r="D389" s="1"/>
      <c r="E389" s="2"/>
      <c r="F389" s="2"/>
    </row>
    <row r="390" spans="3:6" x14ac:dyDescent="0.25">
      <c r="C390" s="1"/>
      <c r="D390" s="1"/>
      <c r="E390" s="2"/>
      <c r="F390" s="2"/>
    </row>
    <row r="391" spans="3:6" x14ac:dyDescent="0.25">
      <c r="C391" s="1"/>
      <c r="D391" s="1"/>
      <c r="E391" s="2"/>
      <c r="F391" s="2"/>
    </row>
    <row r="392" spans="3:6" x14ac:dyDescent="0.25">
      <c r="C392" s="1"/>
      <c r="D392" s="1"/>
      <c r="E392" s="2"/>
      <c r="F392" s="2"/>
    </row>
    <row r="393" spans="3:6" x14ac:dyDescent="0.25">
      <c r="C393" s="1"/>
      <c r="D393" s="1"/>
      <c r="E393" s="2"/>
      <c r="F393" s="2"/>
    </row>
    <row r="394" spans="3:6" x14ac:dyDescent="0.25">
      <c r="C394" s="1"/>
      <c r="D394" s="1"/>
      <c r="E394" s="2"/>
      <c r="F394" s="2"/>
    </row>
    <row r="395" spans="3:6" x14ac:dyDescent="0.25">
      <c r="C395" s="1"/>
      <c r="D395" s="1"/>
      <c r="E395" s="2"/>
      <c r="F395" s="2"/>
    </row>
    <row r="396" spans="3:6" x14ac:dyDescent="0.25">
      <c r="C396" s="1"/>
      <c r="D396" s="1"/>
      <c r="E396" s="2"/>
      <c r="F396" s="2"/>
    </row>
    <row r="397" spans="3:6" x14ac:dyDescent="0.25">
      <c r="C397" s="1"/>
      <c r="D397" s="1"/>
      <c r="E397" s="2"/>
      <c r="F397" s="2"/>
    </row>
    <row r="398" spans="3:6" x14ac:dyDescent="0.25">
      <c r="C398" s="1"/>
      <c r="D398" s="1"/>
      <c r="E398" s="2"/>
      <c r="F398" s="2"/>
    </row>
    <row r="399" spans="3:6" x14ac:dyDescent="0.25">
      <c r="C399" s="1"/>
      <c r="D399" s="1"/>
      <c r="E399" s="2"/>
      <c r="F399" s="2"/>
    </row>
    <row r="400" spans="3:6" x14ac:dyDescent="0.25">
      <c r="C400" s="1"/>
      <c r="D400" s="1"/>
      <c r="E400" s="2"/>
      <c r="F400" s="2"/>
    </row>
    <row r="401" spans="3:6" x14ac:dyDescent="0.25">
      <c r="C401" s="1"/>
      <c r="D401" s="1"/>
      <c r="E401" s="2"/>
      <c r="F401" s="2"/>
    </row>
    <row r="402" spans="3:6" x14ac:dyDescent="0.25">
      <c r="C402" s="1"/>
      <c r="D402" s="1"/>
      <c r="E402" s="2"/>
      <c r="F402" s="2"/>
    </row>
    <row r="403" spans="3:6" x14ac:dyDescent="0.25">
      <c r="C403" s="1"/>
      <c r="D403" s="1"/>
      <c r="E403" s="2"/>
      <c r="F403" s="2"/>
    </row>
    <row r="404" spans="3:6" x14ac:dyDescent="0.25">
      <c r="C404" s="1"/>
      <c r="D404" s="1"/>
      <c r="E404" s="2"/>
      <c r="F404" s="2"/>
    </row>
    <row r="405" spans="3:6" x14ac:dyDescent="0.25">
      <c r="C405" s="1"/>
      <c r="D405" s="1"/>
      <c r="E405" s="2"/>
      <c r="F405" s="2"/>
    </row>
    <row r="406" spans="3:6" x14ac:dyDescent="0.25">
      <c r="C406" s="1"/>
      <c r="D406" s="1"/>
      <c r="E406" s="2"/>
      <c r="F406" s="2"/>
    </row>
    <row r="407" spans="3:6" x14ac:dyDescent="0.25">
      <c r="C407" s="1"/>
      <c r="D407" s="1"/>
      <c r="E407" s="2"/>
      <c r="F407" s="2"/>
    </row>
    <row r="408" spans="3:6" x14ac:dyDescent="0.25">
      <c r="C408" s="1"/>
      <c r="D408" s="1"/>
      <c r="E408" s="2"/>
      <c r="F408" s="2"/>
    </row>
    <row r="409" spans="3:6" x14ac:dyDescent="0.25">
      <c r="C409" s="1"/>
      <c r="D409" s="1"/>
      <c r="E409" s="2"/>
      <c r="F409" s="2"/>
    </row>
    <row r="410" spans="3:6" x14ac:dyDescent="0.25">
      <c r="C410" s="1"/>
      <c r="D410" s="1"/>
      <c r="E410" s="2"/>
      <c r="F410" s="2"/>
    </row>
    <row r="411" spans="3:6" x14ac:dyDescent="0.25">
      <c r="C411" s="1"/>
      <c r="D411" s="1"/>
      <c r="E411" s="2"/>
      <c r="F411" s="2"/>
    </row>
    <row r="412" spans="3:6" x14ac:dyDescent="0.25">
      <c r="C412" s="1"/>
      <c r="D412" s="1"/>
      <c r="E412" s="2"/>
      <c r="F412" s="2"/>
    </row>
    <row r="413" spans="3:6" x14ac:dyDescent="0.25">
      <c r="C413" s="1"/>
      <c r="D413" s="1"/>
      <c r="E413" s="2"/>
      <c r="F413" s="2"/>
    </row>
    <row r="414" spans="3:6" x14ac:dyDescent="0.25">
      <c r="C414" s="1"/>
      <c r="D414" s="1"/>
      <c r="E414" s="2"/>
      <c r="F414" s="2"/>
    </row>
    <row r="415" spans="3:6" x14ac:dyDescent="0.25">
      <c r="C415" s="1"/>
      <c r="D415" s="1"/>
      <c r="E415" s="2"/>
      <c r="F415" s="2"/>
    </row>
    <row r="416" spans="3:6" x14ac:dyDescent="0.25">
      <c r="C416" s="1"/>
      <c r="D416" s="1"/>
      <c r="E416" s="2"/>
      <c r="F416" s="2"/>
    </row>
    <row r="417" spans="3:6" x14ac:dyDescent="0.25">
      <c r="C417" s="1"/>
      <c r="D417" s="1"/>
      <c r="E417" s="2"/>
      <c r="F417" s="2"/>
    </row>
    <row r="418" spans="3:6" x14ac:dyDescent="0.25">
      <c r="C418" s="1"/>
      <c r="D418" s="1"/>
      <c r="E418" s="2"/>
      <c r="F418" s="2"/>
    </row>
    <row r="419" spans="3:6" x14ac:dyDescent="0.25">
      <c r="C419" s="1"/>
      <c r="D419" s="1"/>
      <c r="E419" s="2"/>
      <c r="F419" s="2"/>
    </row>
    <row r="420" spans="3:6" x14ac:dyDescent="0.25">
      <c r="C420" s="1"/>
      <c r="D420" s="1"/>
      <c r="E420" s="2"/>
      <c r="F420" s="2"/>
    </row>
    <row r="421" spans="3:6" x14ac:dyDescent="0.25">
      <c r="C421" s="1"/>
      <c r="D421" s="1"/>
      <c r="E421" s="2"/>
      <c r="F421" s="2"/>
    </row>
    <row r="422" spans="3:6" x14ac:dyDescent="0.25">
      <c r="C422" s="1"/>
      <c r="D422" s="1"/>
      <c r="E422" s="2"/>
      <c r="F422" s="2"/>
    </row>
    <row r="423" spans="3:6" x14ac:dyDescent="0.25">
      <c r="C423" s="1"/>
      <c r="D423" s="1"/>
      <c r="E423" s="2"/>
      <c r="F423" s="2"/>
    </row>
    <row r="424" spans="3:6" x14ac:dyDescent="0.25">
      <c r="C424" s="1"/>
      <c r="D424" s="1"/>
      <c r="E424" s="2"/>
      <c r="F424" s="2"/>
    </row>
    <row r="425" spans="3:6" x14ac:dyDescent="0.25">
      <c r="C425" s="1"/>
      <c r="D425" s="1"/>
      <c r="E425" s="2"/>
      <c r="F425" s="2"/>
    </row>
    <row r="426" spans="3:6" x14ac:dyDescent="0.25">
      <c r="C426" s="1"/>
      <c r="D426" s="1"/>
      <c r="E426" s="2"/>
      <c r="F426" s="2"/>
    </row>
    <row r="427" spans="3:6" x14ac:dyDescent="0.25">
      <c r="C427" s="1"/>
      <c r="D427" s="1"/>
      <c r="E427" s="2"/>
      <c r="F427" s="2"/>
    </row>
    <row r="428" spans="3:6" x14ac:dyDescent="0.25">
      <c r="C428" s="1"/>
      <c r="D428" s="1"/>
      <c r="E428" s="2"/>
      <c r="F428" s="2"/>
    </row>
    <row r="429" spans="3:6" x14ac:dyDescent="0.25">
      <c r="C429" s="1"/>
      <c r="D429" s="1"/>
      <c r="E429" s="2"/>
      <c r="F429" s="2"/>
    </row>
    <row r="430" spans="3:6" x14ac:dyDescent="0.25">
      <c r="C430" s="1"/>
      <c r="D430" s="1"/>
      <c r="E430" s="2"/>
      <c r="F430" s="2"/>
    </row>
    <row r="431" spans="3:6" x14ac:dyDescent="0.25">
      <c r="C431" s="1"/>
      <c r="D431" s="1"/>
      <c r="E431" s="2"/>
      <c r="F431" s="2"/>
    </row>
    <row r="432" spans="3:6" x14ac:dyDescent="0.25">
      <c r="C432" s="1"/>
      <c r="D432" s="1"/>
      <c r="E432" s="2"/>
      <c r="F432" s="2"/>
    </row>
    <row r="433" spans="3:6" x14ac:dyDescent="0.25">
      <c r="C433" s="1"/>
      <c r="D433" s="1"/>
      <c r="E433" s="2"/>
      <c r="F433" s="2"/>
    </row>
    <row r="434" spans="3:6" x14ac:dyDescent="0.25">
      <c r="C434" s="1"/>
      <c r="D434" s="1"/>
      <c r="E434" s="2"/>
      <c r="F434" s="2"/>
    </row>
    <row r="435" spans="3:6" x14ac:dyDescent="0.25">
      <c r="C435" s="1"/>
      <c r="D435" s="1"/>
      <c r="E435" s="2"/>
      <c r="F435" s="2"/>
    </row>
    <row r="436" spans="3:6" x14ac:dyDescent="0.25">
      <c r="C436" s="1"/>
      <c r="D436" s="1"/>
      <c r="E436" s="2"/>
      <c r="F436" s="2"/>
    </row>
    <row r="437" spans="3:6" x14ac:dyDescent="0.25">
      <c r="C437" s="1"/>
      <c r="D437" s="1"/>
      <c r="E437" s="2"/>
      <c r="F437" s="2"/>
    </row>
    <row r="438" spans="3:6" x14ac:dyDescent="0.25">
      <c r="C438" s="1"/>
      <c r="D438" s="1"/>
      <c r="E438" s="2"/>
      <c r="F438" s="2"/>
    </row>
    <row r="439" spans="3:6" x14ac:dyDescent="0.25">
      <c r="C439" s="1"/>
      <c r="D439" s="1"/>
      <c r="E439" s="2"/>
      <c r="F439" s="2"/>
    </row>
    <row r="440" spans="3:6" x14ac:dyDescent="0.25">
      <c r="C440" s="1"/>
      <c r="D440" s="1"/>
      <c r="E440" s="2"/>
      <c r="F440" s="2"/>
    </row>
    <row r="441" spans="3:6" x14ac:dyDescent="0.25">
      <c r="C441" s="1"/>
      <c r="D441" s="1"/>
      <c r="E441" s="2"/>
      <c r="F441" s="2"/>
    </row>
    <row r="442" spans="3:6" x14ac:dyDescent="0.25">
      <c r="C442" s="1"/>
      <c r="D442" s="1"/>
      <c r="E442" s="2"/>
      <c r="F442" s="2"/>
    </row>
    <row r="443" spans="3:6" x14ac:dyDescent="0.25">
      <c r="C443" s="1"/>
      <c r="D443" s="1"/>
      <c r="E443" s="2"/>
      <c r="F443" s="2"/>
    </row>
    <row r="444" spans="3:6" x14ac:dyDescent="0.25">
      <c r="C444" s="1"/>
      <c r="D444" s="1"/>
      <c r="E444" s="2"/>
      <c r="F444" s="2"/>
    </row>
    <row r="445" spans="3:6" x14ac:dyDescent="0.25">
      <c r="C445" s="1"/>
      <c r="D445" s="1"/>
      <c r="E445" s="2"/>
      <c r="F445" s="2"/>
    </row>
    <row r="446" spans="3:6" x14ac:dyDescent="0.25">
      <c r="C446" s="1"/>
      <c r="D446" s="1"/>
      <c r="E446" s="2"/>
      <c r="F446" s="2"/>
    </row>
    <row r="447" spans="3:6" x14ac:dyDescent="0.25">
      <c r="C447" s="1"/>
      <c r="D447" s="1"/>
      <c r="E447" s="2"/>
      <c r="F447" s="2"/>
    </row>
    <row r="448" spans="3:6" x14ac:dyDescent="0.25">
      <c r="C448" s="1"/>
      <c r="D448" s="1"/>
      <c r="E448" s="2"/>
      <c r="F448" s="2"/>
    </row>
    <row r="449" spans="3:6" x14ac:dyDescent="0.25">
      <c r="C449" s="1"/>
      <c r="D449" s="1"/>
      <c r="E449" s="2"/>
      <c r="F449" s="2"/>
    </row>
    <row r="450" spans="3:6" x14ac:dyDescent="0.25">
      <c r="C450" s="1"/>
      <c r="D450" s="1"/>
      <c r="E450" s="2"/>
      <c r="F450" s="2"/>
    </row>
    <row r="451" spans="3:6" x14ac:dyDescent="0.25">
      <c r="C451" s="1"/>
      <c r="D451" s="1"/>
      <c r="E451" s="2"/>
      <c r="F451" s="2"/>
    </row>
    <row r="452" spans="3:6" x14ac:dyDescent="0.25">
      <c r="C452" s="1"/>
      <c r="D452" s="1"/>
      <c r="E452" s="2"/>
      <c r="F452" s="2"/>
    </row>
    <row r="453" spans="3:6" x14ac:dyDescent="0.25">
      <c r="C453" s="1"/>
      <c r="D453" s="1"/>
      <c r="E453" s="2"/>
      <c r="F453" s="2"/>
    </row>
    <row r="454" spans="3:6" x14ac:dyDescent="0.25">
      <c r="C454" s="1"/>
      <c r="D454" s="1"/>
      <c r="E454" s="2"/>
      <c r="F454" s="2"/>
    </row>
    <row r="455" spans="3:6" x14ac:dyDescent="0.25">
      <c r="C455" s="1"/>
      <c r="D455" s="1"/>
      <c r="E455" s="2"/>
      <c r="F455" s="2"/>
    </row>
    <row r="456" spans="3:6" x14ac:dyDescent="0.25">
      <c r="C456" s="1"/>
      <c r="D456" s="1"/>
      <c r="E456" s="2"/>
      <c r="F456" s="2"/>
    </row>
    <row r="457" spans="3:6" x14ac:dyDescent="0.25">
      <c r="C457" s="1"/>
      <c r="D457" s="1"/>
      <c r="E457" s="2"/>
      <c r="F457" s="2"/>
    </row>
    <row r="458" spans="3:6" x14ac:dyDescent="0.25">
      <c r="C458" s="1"/>
      <c r="D458" s="1"/>
      <c r="E458" s="2"/>
      <c r="F458" s="2"/>
    </row>
    <row r="459" spans="3:6" x14ac:dyDescent="0.25">
      <c r="C459" s="1"/>
      <c r="D459" s="1"/>
      <c r="E459" s="2"/>
      <c r="F459" s="2"/>
    </row>
    <row r="460" spans="3:6" x14ac:dyDescent="0.25">
      <c r="C460" s="1"/>
      <c r="D460" s="1"/>
      <c r="E460" s="2"/>
      <c r="F460" s="2"/>
    </row>
    <row r="461" spans="3:6" x14ac:dyDescent="0.25">
      <c r="C461" s="1"/>
      <c r="D461" s="1"/>
      <c r="E461" s="2"/>
      <c r="F461" s="2"/>
    </row>
    <row r="462" spans="3:6" x14ac:dyDescent="0.25">
      <c r="C462" s="1"/>
      <c r="D462" s="1"/>
      <c r="E462" s="2"/>
      <c r="F462" s="2"/>
    </row>
    <row r="463" spans="3:6" x14ac:dyDescent="0.25">
      <c r="C463" s="1"/>
      <c r="D463" s="1"/>
      <c r="E463" s="2"/>
      <c r="F463" s="2"/>
    </row>
    <row r="464" spans="3:6" x14ac:dyDescent="0.25">
      <c r="C464" s="1"/>
      <c r="D464" s="1"/>
      <c r="E464" s="2"/>
      <c r="F464" s="2"/>
    </row>
    <row r="465" spans="3:6" x14ac:dyDescent="0.25">
      <c r="C465" s="1"/>
      <c r="D465" s="1"/>
      <c r="E465" s="2"/>
      <c r="F465" s="2"/>
    </row>
    <row r="466" spans="3:6" x14ac:dyDescent="0.25">
      <c r="C466" s="1"/>
      <c r="D466" s="1"/>
      <c r="E466" s="2"/>
      <c r="F466" s="2"/>
    </row>
    <row r="467" spans="3:6" x14ac:dyDescent="0.25">
      <c r="C467" s="1"/>
      <c r="D467" s="1"/>
      <c r="E467" s="2"/>
      <c r="F467" s="2"/>
    </row>
    <row r="468" spans="3:6" x14ac:dyDescent="0.25">
      <c r="C468" s="1"/>
      <c r="D468" s="1"/>
      <c r="E468" s="2"/>
      <c r="F468" s="2"/>
    </row>
    <row r="469" spans="3:6" x14ac:dyDescent="0.25">
      <c r="C469" s="1"/>
      <c r="D469" s="1"/>
      <c r="E469" s="2"/>
      <c r="F469" s="2"/>
    </row>
    <row r="470" spans="3:6" x14ac:dyDescent="0.25">
      <c r="C470" s="1"/>
      <c r="D470" s="1"/>
      <c r="E470" s="2"/>
      <c r="F470" s="2"/>
    </row>
    <row r="471" spans="3:6" x14ac:dyDescent="0.25">
      <c r="C471" s="1"/>
      <c r="D471" s="1"/>
      <c r="E471" s="2"/>
      <c r="F471" s="2"/>
    </row>
    <row r="472" spans="3:6" x14ac:dyDescent="0.25">
      <c r="C472" s="1"/>
      <c r="D472" s="1"/>
      <c r="E472" s="2"/>
      <c r="F472" s="2"/>
    </row>
    <row r="473" spans="3:6" x14ac:dyDescent="0.25">
      <c r="C473" s="1"/>
      <c r="D473" s="1"/>
      <c r="E473" s="2"/>
      <c r="F473" s="2"/>
    </row>
    <row r="474" spans="3:6" x14ac:dyDescent="0.25">
      <c r="C474" s="1"/>
      <c r="D474" s="1"/>
      <c r="E474" s="2"/>
      <c r="F474" s="2"/>
    </row>
    <row r="475" spans="3:6" x14ac:dyDescent="0.25">
      <c r="C475" s="1"/>
      <c r="D475" s="1"/>
      <c r="E475" s="2"/>
      <c r="F475" s="2"/>
    </row>
    <row r="476" spans="3:6" x14ac:dyDescent="0.25">
      <c r="C476" s="1"/>
      <c r="D476" s="1"/>
      <c r="E476" s="2"/>
      <c r="F476" s="2"/>
    </row>
    <row r="477" spans="3:6" x14ac:dyDescent="0.25">
      <c r="C477" s="1"/>
      <c r="D477" s="1"/>
      <c r="E477" s="2"/>
      <c r="F477" s="2"/>
    </row>
    <row r="478" spans="3:6" x14ac:dyDescent="0.25">
      <c r="C478" s="1"/>
      <c r="D478" s="1"/>
      <c r="E478" s="2"/>
      <c r="F478" s="2"/>
    </row>
    <row r="479" spans="3:6" x14ac:dyDescent="0.25">
      <c r="C479" s="1"/>
      <c r="D479" s="1"/>
      <c r="E479" s="2"/>
      <c r="F479" s="2"/>
    </row>
    <row r="480" spans="3:6" x14ac:dyDescent="0.25">
      <c r="C480" s="1"/>
      <c r="D480" s="1"/>
      <c r="E480" s="2"/>
      <c r="F480" s="2"/>
    </row>
    <row r="481" spans="3:6" x14ac:dyDescent="0.25">
      <c r="C481" s="1"/>
      <c r="D481" s="1"/>
      <c r="E481" s="2"/>
      <c r="F481" s="2"/>
    </row>
    <row r="482" spans="3:6" x14ac:dyDescent="0.25">
      <c r="C482" s="1"/>
      <c r="D482" s="1"/>
      <c r="E482" s="2"/>
      <c r="F482" s="2"/>
    </row>
    <row r="483" spans="3:6" x14ac:dyDescent="0.25">
      <c r="C483" s="1"/>
      <c r="D483" s="1"/>
      <c r="E483" s="2"/>
      <c r="F483" s="2"/>
    </row>
    <row r="484" spans="3:6" x14ac:dyDescent="0.25">
      <c r="C484" s="1"/>
      <c r="D484" s="1"/>
      <c r="E484" s="2"/>
      <c r="F484" s="2"/>
    </row>
    <row r="485" spans="3:6" x14ac:dyDescent="0.25">
      <c r="C485" s="1"/>
      <c r="D485" s="1"/>
      <c r="E485" s="2"/>
      <c r="F485" s="2"/>
    </row>
    <row r="486" spans="3:6" x14ac:dyDescent="0.25">
      <c r="C486" s="1"/>
      <c r="D486" s="1"/>
      <c r="E486" s="2"/>
      <c r="F486" s="2"/>
    </row>
    <row r="487" spans="3:6" x14ac:dyDescent="0.25">
      <c r="C487" s="1"/>
      <c r="D487" s="1"/>
      <c r="E487" s="2"/>
      <c r="F487" s="2"/>
    </row>
    <row r="488" spans="3:6" x14ac:dyDescent="0.25">
      <c r="C488" s="1"/>
      <c r="D488" s="1"/>
      <c r="E488" s="2"/>
      <c r="F488" s="2"/>
    </row>
    <row r="489" spans="3:6" x14ac:dyDescent="0.25">
      <c r="C489" s="1"/>
      <c r="D489" s="1"/>
      <c r="E489" s="2"/>
      <c r="F489" s="2"/>
    </row>
    <row r="490" spans="3:6" x14ac:dyDescent="0.25">
      <c r="C490" s="1"/>
      <c r="D490" s="1"/>
      <c r="E490" s="2"/>
      <c r="F490" s="2"/>
    </row>
    <row r="491" spans="3:6" x14ac:dyDescent="0.25">
      <c r="C491" s="1"/>
      <c r="D491" s="1"/>
      <c r="E491" s="2"/>
      <c r="F491" s="2"/>
    </row>
    <row r="492" spans="3:6" x14ac:dyDescent="0.25">
      <c r="C492" s="1"/>
      <c r="D492" s="1"/>
      <c r="E492" s="2"/>
      <c r="F492" s="2"/>
    </row>
    <row r="493" spans="3:6" x14ac:dyDescent="0.25">
      <c r="C493" s="1"/>
      <c r="D493" s="1"/>
      <c r="E493" s="2"/>
      <c r="F493" s="2"/>
    </row>
    <row r="494" spans="3:6" x14ac:dyDescent="0.25">
      <c r="C494" s="1"/>
      <c r="D494" s="1"/>
      <c r="E494" s="2"/>
      <c r="F494" s="2"/>
    </row>
    <row r="495" spans="3:6" x14ac:dyDescent="0.25">
      <c r="C495" s="1"/>
      <c r="D495" s="1"/>
      <c r="E495" s="2"/>
      <c r="F495" s="2"/>
    </row>
    <row r="496" spans="3:6" x14ac:dyDescent="0.25">
      <c r="C496" s="1"/>
      <c r="D496" s="1"/>
      <c r="E496" s="2"/>
      <c r="F496" s="2"/>
    </row>
    <row r="497" spans="3:6" x14ac:dyDescent="0.25">
      <c r="C497" s="1"/>
      <c r="D497" s="1"/>
      <c r="E497" s="2"/>
      <c r="F497" s="2"/>
    </row>
    <row r="498" spans="3:6" x14ac:dyDescent="0.25">
      <c r="C498" s="1"/>
      <c r="D498" s="1"/>
      <c r="E498" s="2"/>
      <c r="F498" s="2"/>
    </row>
    <row r="499" spans="3:6" x14ac:dyDescent="0.25">
      <c r="C499" s="1"/>
      <c r="D499" s="1"/>
      <c r="E499" s="2"/>
      <c r="F499" s="2"/>
    </row>
    <row r="500" spans="3:6" x14ac:dyDescent="0.25">
      <c r="C500" s="1"/>
      <c r="D500" s="1"/>
      <c r="E500" s="2"/>
      <c r="F500" s="2"/>
    </row>
    <row r="501" spans="3:6" x14ac:dyDescent="0.25">
      <c r="C501" s="1"/>
      <c r="D501" s="1"/>
      <c r="E501" s="2"/>
      <c r="F501" s="2"/>
    </row>
    <row r="502" spans="3:6" x14ac:dyDescent="0.25">
      <c r="C502" s="1"/>
      <c r="D502" s="1"/>
      <c r="E502" s="2"/>
      <c r="F502" s="2"/>
    </row>
    <row r="503" spans="3:6" x14ac:dyDescent="0.25">
      <c r="C503" s="1"/>
      <c r="D503" s="1"/>
      <c r="E503" s="2"/>
      <c r="F503" s="2"/>
    </row>
    <row r="504" spans="3:6" x14ac:dyDescent="0.25">
      <c r="C504" s="1"/>
      <c r="D504" s="1"/>
      <c r="E504" s="2"/>
      <c r="F504" s="2"/>
    </row>
    <row r="505" spans="3:6" x14ac:dyDescent="0.25">
      <c r="C505" s="1"/>
      <c r="D505" s="1"/>
      <c r="E505" s="2"/>
      <c r="F505" s="2"/>
    </row>
    <row r="506" spans="3:6" x14ac:dyDescent="0.25">
      <c r="C506" s="1"/>
      <c r="D506" s="1"/>
      <c r="E506" s="2"/>
      <c r="F506" s="2"/>
    </row>
    <row r="507" spans="3:6" x14ac:dyDescent="0.25">
      <c r="C507" s="1"/>
      <c r="D507" s="1"/>
      <c r="E507" s="2"/>
      <c r="F507" s="2"/>
    </row>
    <row r="508" spans="3:6" x14ac:dyDescent="0.25">
      <c r="C508" s="1"/>
      <c r="D508" s="1"/>
      <c r="E508" s="2"/>
      <c r="F508" s="2"/>
    </row>
    <row r="509" spans="3:6" x14ac:dyDescent="0.25">
      <c r="C509" s="1"/>
      <c r="D509" s="1"/>
      <c r="E509" s="2"/>
      <c r="F509" s="2"/>
    </row>
    <row r="510" spans="3:6" x14ac:dyDescent="0.25">
      <c r="C510" s="1"/>
      <c r="D510" s="1"/>
      <c r="E510" s="2"/>
      <c r="F510" s="2"/>
    </row>
    <row r="511" spans="3:6" x14ac:dyDescent="0.25">
      <c r="C511" s="1"/>
      <c r="D511" s="1"/>
      <c r="E511" s="2"/>
      <c r="F511" s="2"/>
    </row>
    <row r="512" spans="3:6" x14ac:dyDescent="0.25">
      <c r="C512" s="1"/>
      <c r="D512" s="1"/>
      <c r="E512" s="2"/>
      <c r="F512" s="2"/>
    </row>
    <row r="513" spans="3:6" x14ac:dyDescent="0.25">
      <c r="C513" s="1"/>
      <c r="D513" s="1"/>
      <c r="E513" s="2"/>
      <c r="F513" s="2"/>
    </row>
    <row r="514" spans="3:6" x14ac:dyDescent="0.25">
      <c r="C514" s="1"/>
      <c r="D514" s="1"/>
      <c r="E514" s="2"/>
      <c r="F514" s="2"/>
    </row>
    <row r="515" spans="3:6" x14ac:dyDescent="0.25">
      <c r="C515" s="1"/>
      <c r="D515" s="1"/>
      <c r="E515" s="2"/>
      <c r="F515" s="2"/>
    </row>
    <row r="516" spans="3:6" x14ac:dyDescent="0.25">
      <c r="C516" s="1"/>
      <c r="D516" s="1"/>
      <c r="E516" s="2"/>
      <c r="F516" s="2"/>
    </row>
    <row r="517" spans="3:6" x14ac:dyDescent="0.25">
      <c r="C517" s="1"/>
      <c r="D517" s="1"/>
      <c r="E517" s="2"/>
      <c r="F517" s="2"/>
    </row>
    <row r="518" spans="3:6" x14ac:dyDescent="0.25">
      <c r="C518" s="1"/>
      <c r="D518" s="1"/>
      <c r="E518" s="2"/>
      <c r="F518" s="2"/>
    </row>
    <row r="519" spans="3:6" x14ac:dyDescent="0.25">
      <c r="C519" s="1"/>
      <c r="D519" s="1"/>
      <c r="E519" s="2"/>
      <c r="F519" s="2"/>
    </row>
    <row r="520" spans="3:6" x14ac:dyDescent="0.25">
      <c r="C520" s="1"/>
      <c r="D520" s="1"/>
      <c r="E520" s="2"/>
      <c r="F520" s="2"/>
    </row>
    <row r="521" spans="3:6" x14ac:dyDescent="0.25">
      <c r="C521" s="1"/>
      <c r="D521" s="1"/>
      <c r="E521" s="2"/>
      <c r="F521" s="2"/>
    </row>
    <row r="522" spans="3:6" x14ac:dyDescent="0.25">
      <c r="C522" s="1"/>
      <c r="D522" s="1"/>
      <c r="E522" s="2"/>
      <c r="F522" s="2"/>
    </row>
    <row r="523" spans="3:6" x14ac:dyDescent="0.25">
      <c r="C523" s="1"/>
      <c r="D523" s="1"/>
      <c r="E523" s="2"/>
      <c r="F523" s="2"/>
    </row>
    <row r="524" spans="3:6" x14ac:dyDescent="0.25">
      <c r="C524" s="1"/>
      <c r="D524" s="1"/>
      <c r="E524" s="2"/>
      <c r="F524" s="2"/>
    </row>
    <row r="525" spans="3:6" x14ac:dyDescent="0.25">
      <c r="C525" s="1"/>
      <c r="D525" s="1"/>
      <c r="E525" s="2"/>
      <c r="F525" s="2"/>
    </row>
    <row r="526" spans="3:6" x14ac:dyDescent="0.25">
      <c r="C526" s="1"/>
      <c r="D526" s="1"/>
      <c r="E526" s="2"/>
      <c r="F526" s="2"/>
    </row>
    <row r="527" spans="3:6" x14ac:dyDescent="0.25">
      <c r="C527" s="1"/>
      <c r="D527" s="1"/>
      <c r="E527" s="2"/>
      <c r="F527" s="2"/>
    </row>
    <row r="528" spans="3:6" x14ac:dyDescent="0.25">
      <c r="C528" s="1"/>
      <c r="D528" s="1"/>
      <c r="E528" s="2"/>
      <c r="F528" s="2"/>
    </row>
    <row r="529" spans="3:6" x14ac:dyDescent="0.25">
      <c r="C529" s="1"/>
      <c r="D529" s="1"/>
      <c r="E529" s="2"/>
      <c r="F529" s="2"/>
    </row>
    <row r="530" spans="3:6" x14ac:dyDescent="0.25">
      <c r="C530" s="1"/>
      <c r="D530" s="1"/>
      <c r="E530" s="2"/>
      <c r="F530" s="2"/>
    </row>
    <row r="531" spans="3:6" x14ac:dyDescent="0.25">
      <c r="C531" s="1"/>
      <c r="D531" s="1"/>
      <c r="E531" s="2"/>
      <c r="F531" s="2"/>
    </row>
    <row r="532" spans="3:6" x14ac:dyDescent="0.25">
      <c r="C532" s="1"/>
      <c r="D532" s="1"/>
      <c r="E532" s="2"/>
      <c r="F532" s="2"/>
    </row>
    <row r="533" spans="3:6" x14ac:dyDescent="0.25">
      <c r="C533" s="1"/>
      <c r="D533" s="1"/>
      <c r="E533" s="2"/>
      <c r="F533" s="2"/>
    </row>
    <row r="534" spans="3:6" x14ac:dyDescent="0.25">
      <c r="C534" s="1"/>
      <c r="D534" s="1"/>
      <c r="E534" s="2"/>
      <c r="F534" s="2"/>
    </row>
    <row r="535" spans="3:6" x14ac:dyDescent="0.25">
      <c r="C535" s="1"/>
      <c r="D535" s="1"/>
      <c r="E535" s="2"/>
      <c r="F535" s="2"/>
    </row>
    <row r="536" spans="3:6" x14ac:dyDescent="0.25">
      <c r="C536" s="1"/>
      <c r="D536" s="1"/>
      <c r="E536" s="2"/>
      <c r="F536" s="2"/>
    </row>
    <row r="537" spans="3:6" x14ac:dyDescent="0.25">
      <c r="C537" s="1"/>
      <c r="D537" s="1"/>
      <c r="E537" s="2"/>
      <c r="F537" s="2"/>
    </row>
    <row r="538" spans="3:6" x14ac:dyDescent="0.25">
      <c r="C538" s="1"/>
      <c r="D538" s="1"/>
      <c r="E538" s="2"/>
      <c r="F538" s="2"/>
    </row>
    <row r="539" spans="3:6" x14ac:dyDescent="0.25">
      <c r="C539" s="1"/>
      <c r="D539" s="1"/>
      <c r="E539" s="2"/>
      <c r="F539" s="2"/>
    </row>
    <row r="540" spans="3:6" x14ac:dyDescent="0.25">
      <c r="C540" s="1"/>
      <c r="D540" s="1"/>
      <c r="E540" s="2"/>
      <c r="F540" s="2"/>
    </row>
    <row r="541" spans="3:6" x14ac:dyDescent="0.25">
      <c r="C541" s="1"/>
      <c r="D541" s="1"/>
      <c r="E541" s="2"/>
      <c r="F541" s="2"/>
    </row>
    <row r="542" spans="3:6" x14ac:dyDescent="0.25">
      <c r="C542" s="1"/>
      <c r="D542" s="1"/>
      <c r="E542" s="2"/>
      <c r="F542" s="2"/>
    </row>
    <row r="543" spans="3:6" x14ac:dyDescent="0.25">
      <c r="C543" s="1"/>
      <c r="D543" s="1"/>
      <c r="E543" s="2"/>
      <c r="F543" s="2"/>
    </row>
    <row r="544" spans="3:6" x14ac:dyDescent="0.25">
      <c r="C544" s="1"/>
      <c r="D544" s="1"/>
      <c r="E544" s="2"/>
      <c r="F544" s="2"/>
    </row>
    <row r="545" spans="3:6" x14ac:dyDescent="0.25">
      <c r="C545" s="1"/>
      <c r="D545" s="1"/>
      <c r="E545" s="2"/>
      <c r="F545" s="2"/>
    </row>
    <row r="546" spans="3:6" x14ac:dyDescent="0.25">
      <c r="C546" s="1"/>
      <c r="D546" s="1"/>
      <c r="E546" s="2"/>
      <c r="F546" s="2"/>
    </row>
    <row r="547" spans="3:6" x14ac:dyDescent="0.25">
      <c r="C547" s="1"/>
      <c r="D547" s="1"/>
      <c r="E547" s="2"/>
      <c r="F547" s="2"/>
    </row>
    <row r="548" spans="3:6" x14ac:dyDescent="0.25">
      <c r="C548" s="1"/>
      <c r="D548" s="1"/>
      <c r="E548" s="2"/>
      <c r="F548" s="2"/>
    </row>
    <row r="549" spans="3:6" x14ac:dyDescent="0.25">
      <c r="C549" s="1"/>
      <c r="D549" s="1"/>
      <c r="E549" s="2"/>
      <c r="F549" s="2"/>
    </row>
    <row r="550" spans="3:6" x14ac:dyDescent="0.25">
      <c r="C550" s="1"/>
      <c r="D550" s="1"/>
      <c r="E550" s="2"/>
      <c r="F550" s="2"/>
    </row>
    <row r="551" spans="3:6" x14ac:dyDescent="0.25">
      <c r="C551" s="1"/>
      <c r="D551" s="1"/>
      <c r="E551" s="2"/>
      <c r="F551" s="2"/>
    </row>
    <row r="552" spans="3:6" x14ac:dyDescent="0.25">
      <c r="C552" s="1"/>
      <c r="D552" s="1"/>
      <c r="E552" s="2"/>
      <c r="F552" s="2"/>
    </row>
    <row r="553" spans="3:6" x14ac:dyDescent="0.25">
      <c r="C553" s="1"/>
      <c r="D553" s="1"/>
      <c r="E553" s="2"/>
      <c r="F553" s="2"/>
    </row>
    <row r="554" spans="3:6" x14ac:dyDescent="0.25">
      <c r="C554" s="1"/>
      <c r="D554" s="1"/>
      <c r="E554" s="2"/>
      <c r="F554" s="2"/>
    </row>
    <row r="555" spans="3:6" x14ac:dyDescent="0.25">
      <c r="C555" s="1"/>
      <c r="D555" s="1"/>
      <c r="E555" s="2"/>
      <c r="F555" s="2"/>
    </row>
    <row r="556" spans="3:6" x14ac:dyDescent="0.25">
      <c r="C556" s="1"/>
      <c r="D556" s="1"/>
      <c r="E556" s="2"/>
      <c r="F556" s="2"/>
    </row>
    <row r="557" spans="3:6" x14ac:dyDescent="0.25">
      <c r="C557" s="1"/>
      <c r="D557" s="1"/>
      <c r="E557" s="2"/>
      <c r="F557" s="2"/>
    </row>
    <row r="558" spans="3:6" x14ac:dyDescent="0.25">
      <c r="C558" s="1"/>
      <c r="D558" s="1"/>
      <c r="E558" s="2"/>
      <c r="F558" s="2"/>
    </row>
    <row r="559" spans="3:6" x14ac:dyDescent="0.25">
      <c r="C559" s="1"/>
      <c r="D559" s="1"/>
      <c r="E559" s="2"/>
      <c r="F559" s="2"/>
    </row>
    <row r="560" spans="3:6" x14ac:dyDescent="0.25">
      <c r="C560" s="1"/>
      <c r="D560" s="1"/>
      <c r="E560" s="2"/>
      <c r="F560" s="2"/>
    </row>
    <row r="561" spans="3:6" x14ac:dyDescent="0.25">
      <c r="C561" s="1"/>
      <c r="D561" s="1"/>
      <c r="E561" s="2"/>
      <c r="F561" s="2"/>
    </row>
    <row r="562" spans="3:6" x14ac:dyDescent="0.25">
      <c r="C562" s="1"/>
      <c r="D562" s="1"/>
      <c r="E562" s="2"/>
      <c r="F562" s="2"/>
    </row>
    <row r="563" spans="3:6" x14ac:dyDescent="0.25">
      <c r="C563" s="1"/>
      <c r="D563" s="1"/>
      <c r="E563" s="2"/>
      <c r="F563" s="2"/>
    </row>
    <row r="564" spans="3:6" x14ac:dyDescent="0.25">
      <c r="C564" s="1"/>
      <c r="D564" s="1"/>
      <c r="E564" s="2"/>
      <c r="F564" s="2"/>
    </row>
    <row r="565" spans="3:6" x14ac:dyDescent="0.25">
      <c r="C565" s="1"/>
      <c r="D565" s="1"/>
      <c r="E565" s="2"/>
      <c r="F565" s="2"/>
    </row>
    <row r="566" spans="3:6" x14ac:dyDescent="0.25">
      <c r="C566" s="1"/>
      <c r="D566" s="1"/>
      <c r="E566" s="2"/>
      <c r="F566" s="2"/>
    </row>
    <row r="567" spans="3:6" x14ac:dyDescent="0.25">
      <c r="C567" s="1"/>
      <c r="D567" s="1"/>
      <c r="E567" s="2"/>
      <c r="F567" s="2"/>
    </row>
    <row r="568" spans="3:6" x14ac:dyDescent="0.25">
      <c r="C568" s="1"/>
      <c r="D568" s="1"/>
      <c r="E568" s="2"/>
      <c r="F568" s="2"/>
    </row>
    <row r="569" spans="3:6" x14ac:dyDescent="0.25">
      <c r="C569" s="1"/>
      <c r="D569" s="1"/>
      <c r="E569" s="2"/>
      <c r="F569" s="2"/>
    </row>
    <row r="570" spans="3:6" x14ac:dyDescent="0.25">
      <c r="C570" s="1"/>
      <c r="D570" s="1"/>
      <c r="E570" s="2"/>
      <c r="F570" s="2"/>
    </row>
    <row r="571" spans="3:6" x14ac:dyDescent="0.25">
      <c r="C571" s="1"/>
      <c r="D571" s="1"/>
      <c r="E571" s="2"/>
      <c r="F571" s="2"/>
    </row>
    <row r="572" spans="3:6" x14ac:dyDescent="0.25">
      <c r="C572" s="1"/>
      <c r="D572" s="1"/>
      <c r="E572" s="2"/>
      <c r="F572" s="2"/>
    </row>
    <row r="573" spans="3:6" x14ac:dyDescent="0.25">
      <c r="C573" s="1"/>
      <c r="D573" s="1"/>
      <c r="E573" s="2"/>
      <c r="F573" s="2"/>
    </row>
    <row r="574" spans="3:6" x14ac:dyDescent="0.25">
      <c r="C574" s="1"/>
      <c r="D574" s="1"/>
      <c r="E574" s="2"/>
      <c r="F574" s="2"/>
    </row>
    <row r="575" spans="3:6" x14ac:dyDescent="0.25">
      <c r="C575" s="1"/>
      <c r="D575" s="1"/>
      <c r="E575" s="2"/>
      <c r="F575" s="2"/>
    </row>
    <row r="576" spans="3:6" x14ac:dyDescent="0.25">
      <c r="C576" s="1"/>
      <c r="D576" s="1"/>
      <c r="E576" s="2"/>
      <c r="F576" s="2"/>
    </row>
    <row r="577" spans="3:6" x14ac:dyDescent="0.25">
      <c r="C577" s="1"/>
      <c r="D577" s="1"/>
      <c r="E577" s="2"/>
      <c r="F577" s="2"/>
    </row>
    <row r="578" spans="3:6" x14ac:dyDescent="0.25">
      <c r="C578" s="1"/>
      <c r="D578" s="1"/>
      <c r="E578" s="2"/>
      <c r="F578" s="2"/>
    </row>
    <row r="579" spans="3:6" x14ac:dyDescent="0.25">
      <c r="C579" s="1"/>
      <c r="D579" s="1"/>
      <c r="E579" s="2"/>
      <c r="F579" s="2"/>
    </row>
    <row r="580" spans="3:6" x14ac:dyDescent="0.25">
      <c r="C580" s="1"/>
      <c r="D580" s="1"/>
      <c r="E580" s="2"/>
      <c r="F580" s="2"/>
    </row>
    <row r="581" spans="3:6" x14ac:dyDescent="0.25">
      <c r="C581" s="1"/>
      <c r="D581" s="1"/>
      <c r="E581" s="2"/>
      <c r="F581" s="2"/>
    </row>
    <row r="582" spans="3:6" x14ac:dyDescent="0.25">
      <c r="C582" s="1"/>
      <c r="D582" s="1"/>
      <c r="E582" s="2"/>
      <c r="F582" s="2"/>
    </row>
    <row r="583" spans="3:6" x14ac:dyDescent="0.25">
      <c r="C583" s="1"/>
      <c r="D583" s="1"/>
      <c r="E583" s="2"/>
      <c r="F583" s="2"/>
    </row>
    <row r="584" spans="3:6" x14ac:dyDescent="0.25">
      <c r="C584" s="1"/>
      <c r="D584" s="1"/>
      <c r="E584" s="2"/>
      <c r="F584" s="2"/>
    </row>
    <row r="585" spans="3:6" x14ac:dyDescent="0.25">
      <c r="C585" s="1"/>
      <c r="D585" s="1"/>
      <c r="E585" s="2"/>
      <c r="F585" s="2"/>
    </row>
    <row r="586" spans="3:6" x14ac:dyDescent="0.25">
      <c r="C586" s="1"/>
      <c r="D586" s="1"/>
      <c r="E586" s="2"/>
      <c r="F586" s="2"/>
    </row>
    <row r="587" spans="3:6" x14ac:dyDescent="0.25">
      <c r="C587" s="1"/>
      <c r="D587" s="1"/>
      <c r="E587" s="2"/>
      <c r="F587" s="2"/>
    </row>
    <row r="588" spans="3:6" x14ac:dyDescent="0.25">
      <c r="C588" s="1"/>
      <c r="D588" s="1"/>
      <c r="E588" s="2"/>
      <c r="F588" s="2"/>
    </row>
    <row r="589" spans="3:6" x14ac:dyDescent="0.25">
      <c r="C589" s="1"/>
      <c r="D589" s="1"/>
      <c r="E589" s="2"/>
      <c r="F589" s="2"/>
    </row>
    <row r="590" spans="3:6" x14ac:dyDescent="0.25">
      <c r="C590" s="1"/>
      <c r="D590" s="1"/>
      <c r="E590" s="2"/>
      <c r="F590" s="2"/>
    </row>
    <row r="591" spans="3:6" x14ac:dyDescent="0.25">
      <c r="C591" s="1"/>
      <c r="D591" s="1"/>
      <c r="E591" s="2"/>
      <c r="F591" s="2"/>
    </row>
    <row r="592" spans="3:6" x14ac:dyDescent="0.25">
      <c r="C592" s="1"/>
      <c r="D592" s="1"/>
      <c r="E592" s="2"/>
      <c r="F592" s="2"/>
    </row>
    <row r="593" spans="3:6" x14ac:dyDescent="0.25">
      <c r="C593" s="1"/>
      <c r="D593" s="1"/>
      <c r="E593" s="2"/>
      <c r="F593" s="2"/>
    </row>
    <row r="594" spans="3:6" x14ac:dyDescent="0.25">
      <c r="C594" s="1"/>
      <c r="D594" s="1"/>
      <c r="E594" s="2"/>
      <c r="F594" s="2"/>
    </row>
    <row r="595" spans="3:6" x14ac:dyDescent="0.25">
      <c r="C595" s="1"/>
      <c r="D595" s="1"/>
      <c r="E595" s="2"/>
      <c r="F595" s="2"/>
    </row>
    <row r="596" spans="3:6" x14ac:dyDescent="0.25">
      <c r="C596" s="1"/>
      <c r="D596" s="1"/>
      <c r="E596" s="2"/>
      <c r="F596" s="2"/>
    </row>
    <row r="597" spans="3:6" x14ac:dyDescent="0.25">
      <c r="C597" s="1"/>
      <c r="D597" s="1"/>
      <c r="E597" s="2"/>
      <c r="F597" s="2"/>
    </row>
    <row r="598" spans="3:6" x14ac:dyDescent="0.25">
      <c r="C598" s="1"/>
      <c r="D598" s="1"/>
      <c r="E598" s="2"/>
      <c r="F598" s="2"/>
    </row>
    <row r="599" spans="3:6" x14ac:dyDescent="0.25">
      <c r="C599" s="1"/>
      <c r="D599" s="1"/>
      <c r="E599" s="2"/>
      <c r="F599" s="2"/>
    </row>
    <row r="600" spans="3:6" x14ac:dyDescent="0.25">
      <c r="C600" s="1"/>
      <c r="D600" s="1"/>
      <c r="E600" s="2"/>
      <c r="F600" s="2"/>
    </row>
    <row r="601" spans="3:6" x14ac:dyDescent="0.25">
      <c r="C601" s="1"/>
      <c r="D601" s="1"/>
      <c r="E601" s="2"/>
      <c r="F601" s="2"/>
    </row>
    <row r="602" spans="3:6" x14ac:dyDescent="0.25">
      <c r="C602" s="1"/>
      <c r="D602" s="1"/>
      <c r="E602" s="2"/>
      <c r="F602" s="2"/>
    </row>
    <row r="603" spans="3:6" x14ac:dyDescent="0.25">
      <c r="C603" s="1"/>
      <c r="D603" s="1"/>
      <c r="E603" s="2"/>
      <c r="F603" s="2"/>
    </row>
    <row r="604" spans="3:6" x14ac:dyDescent="0.25">
      <c r="C604" s="1"/>
      <c r="D604" s="1"/>
      <c r="E604" s="2"/>
      <c r="F604" s="2"/>
    </row>
    <row r="605" spans="3:6" x14ac:dyDescent="0.25">
      <c r="C605" s="1"/>
      <c r="D605" s="1"/>
      <c r="E605" s="2"/>
      <c r="F605" s="2"/>
    </row>
    <row r="606" spans="3:6" x14ac:dyDescent="0.25">
      <c r="C606" s="1"/>
      <c r="D606" s="1"/>
      <c r="E606" s="2"/>
      <c r="F606" s="2"/>
    </row>
    <row r="607" spans="3:6" x14ac:dyDescent="0.25">
      <c r="C607" s="1"/>
      <c r="D607" s="1"/>
      <c r="E607" s="2"/>
      <c r="F607" s="2"/>
    </row>
    <row r="608" spans="3:6" x14ac:dyDescent="0.25">
      <c r="C608" s="1"/>
      <c r="D608" s="1"/>
      <c r="E608" s="2"/>
      <c r="F608" s="2"/>
    </row>
    <row r="609" spans="3:6" x14ac:dyDescent="0.25">
      <c r="C609" s="1"/>
      <c r="D609" s="1"/>
      <c r="E609" s="2"/>
      <c r="F609" s="2"/>
    </row>
    <row r="610" spans="3:6" x14ac:dyDescent="0.25">
      <c r="C610" s="1"/>
      <c r="D610" s="1"/>
      <c r="E610" s="2"/>
      <c r="F610" s="2"/>
    </row>
    <row r="611" spans="3:6" x14ac:dyDescent="0.25">
      <c r="C611" s="1"/>
      <c r="D611" s="1"/>
      <c r="E611" s="2"/>
      <c r="F611" s="2"/>
    </row>
    <row r="612" spans="3:6" x14ac:dyDescent="0.25">
      <c r="C612" s="1"/>
      <c r="D612" s="1"/>
      <c r="E612" s="2"/>
      <c r="F612" s="2"/>
    </row>
    <row r="613" spans="3:6" x14ac:dyDescent="0.25">
      <c r="C613" s="1"/>
      <c r="D613" s="1"/>
      <c r="E613" s="2"/>
      <c r="F613" s="2"/>
    </row>
    <row r="614" spans="3:6" x14ac:dyDescent="0.25">
      <c r="C614" s="1"/>
      <c r="D614" s="1"/>
      <c r="E614" s="2"/>
      <c r="F614" s="2"/>
    </row>
    <row r="615" spans="3:6" x14ac:dyDescent="0.25">
      <c r="C615" s="1"/>
      <c r="D615" s="1"/>
      <c r="E615" s="2"/>
      <c r="F615" s="2"/>
    </row>
    <row r="616" spans="3:6" x14ac:dyDescent="0.25">
      <c r="C616" s="1"/>
      <c r="D616" s="1"/>
      <c r="E616" s="2"/>
      <c r="F616" s="2"/>
    </row>
    <row r="617" spans="3:6" x14ac:dyDescent="0.25">
      <c r="C617" s="1"/>
      <c r="D617" s="1"/>
      <c r="E617" s="2"/>
      <c r="F617" s="2"/>
    </row>
    <row r="618" spans="3:6" x14ac:dyDescent="0.25">
      <c r="C618" s="1"/>
      <c r="D618" s="1"/>
      <c r="E618" s="2"/>
      <c r="F618" s="2"/>
    </row>
    <row r="619" spans="3:6" x14ac:dyDescent="0.25">
      <c r="C619" s="1"/>
      <c r="D619" s="1"/>
      <c r="E619" s="2"/>
      <c r="F619" s="2"/>
    </row>
    <row r="620" spans="3:6" x14ac:dyDescent="0.25">
      <c r="C620" s="1"/>
      <c r="D620" s="1"/>
      <c r="E620" s="2"/>
      <c r="F620" s="2"/>
    </row>
    <row r="621" spans="3:6" x14ac:dyDescent="0.25">
      <c r="C621" s="1"/>
      <c r="D621" s="1"/>
      <c r="E621" s="2"/>
      <c r="F621" s="2"/>
    </row>
    <row r="622" spans="3:6" x14ac:dyDescent="0.25">
      <c r="C622" s="1"/>
      <c r="D622" s="1"/>
      <c r="E622" s="2"/>
      <c r="F622" s="2"/>
    </row>
    <row r="623" spans="3:6" x14ac:dyDescent="0.25">
      <c r="C623" s="1"/>
      <c r="D623" s="1"/>
      <c r="E623" s="2"/>
      <c r="F623" s="2"/>
    </row>
    <row r="624" spans="3:6" x14ac:dyDescent="0.25">
      <c r="C624" s="1"/>
      <c r="D624" s="1"/>
      <c r="E624" s="2"/>
      <c r="F624" s="2"/>
    </row>
    <row r="625" spans="3:6" x14ac:dyDescent="0.25">
      <c r="C625" s="1"/>
      <c r="D625" s="1"/>
      <c r="E625" s="2"/>
      <c r="F625" s="2"/>
    </row>
    <row r="626" spans="3:6" x14ac:dyDescent="0.25">
      <c r="C626" s="1"/>
      <c r="D626" s="1"/>
      <c r="E626" s="2"/>
      <c r="F626" s="2"/>
    </row>
    <row r="627" spans="3:6" x14ac:dyDescent="0.25">
      <c r="C627" s="1"/>
      <c r="D627" s="1"/>
      <c r="E627" s="2"/>
      <c r="F627" s="2"/>
    </row>
    <row r="628" spans="3:6" x14ac:dyDescent="0.25">
      <c r="C628" s="1"/>
      <c r="D628" s="1"/>
      <c r="E628" s="2"/>
      <c r="F628" s="2"/>
    </row>
    <row r="629" spans="3:6" x14ac:dyDescent="0.25">
      <c r="C629" s="1"/>
      <c r="D629" s="1"/>
      <c r="E629" s="2"/>
      <c r="F629" s="2"/>
    </row>
    <row r="630" spans="3:6" x14ac:dyDescent="0.25">
      <c r="C630" s="1"/>
      <c r="D630" s="1"/>
      <c r="E630" s="2"/>
      <c r="F630" s="2"/>
    </row>
    <row r="631" spans="3:6" x14ac:dyDescent="0.25">
      <c r="C631" s="1"/>
      <c r="D631" s="1"/>
      <c r="E631" s="2"/>
      <c r="F631" s="2"/>
    </row>
    <row r="632" spans="3:6" x14ac:dyDescent="0.25">
      <c r="C632" s="1"/>
      <c r="D632" s="1"/>
      <c r="E632" s="2"/>
      <c r="F632" s="2"/>
    </row>
    <row r="633" spans="3:6" x14ac:dyDescent="0.25">
      <c r="C633" s="1"/>
      <c r="D633" s="1"/>
      <c r="E633" s="2"/>
      <c r="F633" s="2"/>
    </row>
    <row r="634" spans="3:6" x14ac:dyDescent="0.25">
      <c r="C634" s="1"/>
      <c r="D634" s="1"/>
      <c r="E634" s="2"/>
      <c r="F634" s="2"/>
    </row>
    <row r="635" spans="3:6" x14ac:dyDescent="0.25">
      <c r="C635" s="1"/>
      <c r="D635" s="1"/>
      <c r="E635" s="2"/>
      <c r="F635" s="2"/>
    </row>
    <row r="636" spans="3:6" x14ac:dyDescent="0.25">
      <c r="C636" s="1"/>
      <c r="D636" s="1"/>
      <c r="E636" s="2"/>
      <c r="F636" s="2"/>
    </row>
    <row r="637" spans="3:6" x14ac:dyDescent="0.25">
      <c r="C637" s="1"/>
      <c r="D637" s="1"/>
      <c r="E637" s="2"/>
      <c r="F637" s="2"/>
    </row>
    <row r="638" spans="3:6" x14ac:dyDescent="0.25">
      <c r="C638" s="1"/>
      <c r="D638" s="1"/>
      <c r="E638" s="2"/>
      <c r="F638" s="2"/>
    </row>
    <row r="639" spans="3:6" x14ac:dyDescent="0.25">
      <c r="C639" s="1"/>
      <c r="D639" s="1"/>
      <c r="E639" s="2"/>
      <c r="F639" s="2"/>
    </row>
    <row r="640" spans="3:6" x14ac:dyDescent="0.25">
      <c r="C640" s="1"/>
      <c r="D640" s="1"/>
      <c r="E640" s="2"/>
      <c r="F640" s="2"/>
    </row>
    <row r="641" spans="3:6" x14ac:dyDescent="0.25">
      <c r="C641" s="1"/>
      <c r="D641" s="1"/>
      <c r="E641" s="2"/>
      <c r="F641" s="2"/>
    </row>
    <row r="642" spans="3:6" x14ac:dyDescent="0.25">
      <c r="C642" s="1"/>
      <c r="D642" s="1"/>
      <c r="E642" s="2"/>
      <c r="F642" s="2"/>
    </row>
    <row r="643" spans="3:6" x14ac:dyDescent="0.25">
      <c r="C643" s="1"/>
      <c r="D643" s="1"/>
      <c r="E643" s="2"/>
      <c r="F643" s="2"/>
    </row>
    <row r="644" spans="3:6" x14ac:dyDescent="0.25">
      <c r="C644" s="1"/>
      <c r="D644" s="1"/>
      <c r="E644" s="2"/>
      <c r="F644" s="2"/>
    </row>
    <row r="645" spans="3:6" x14ac:dyDescent="0.25">
      <c r="C645" s="1"/>
      <c r="D645" s="1"/>
      <c r="E645" s="2"/>
      <c r="F645" s="2"/>
    </row>
    <row r="646" spans="3:6" x14ac:dyDescent="0.25">
      <c r="C646" s="1"/>
      <c r="D646" s="1"/>
      <c r="E646" s="2"/>
      <c r="F646" s="2"/>
    </row>
    <row r="647" spans="3:6" x14ac:dyDescent="0.25">
      <c r="C647" s="1"/>
      <c r="D647" s="1"/>
      <c r="E647" s="2"/>
      <c r="F647" s="2"/>
    </row>
    <row r="648" spans="3:6" x14ac:dyDescent="0.25">
      <c r="C648" s="1"/>
      <c r="D648" s="1"/>
      <c r="E648" s="2"/>
      <c r="F648" s="2"/>
    </row>
    <row r="649" spans="3:6" x14ac:dyDescent="0.25">
      <c r="C649" s="1"/>
      <c r="D649" s="1"/>
      <c r="E649" s="2"/>
      <c r="F649" s="2"/>
    </row>
    <row r="650" spans="3:6" x14ac:dyDescent="0.25">
      <c r="C650" s="1"/>
      <c r="D650" s="1"/>
      <c r="E650" s="2"/>
      <c r="F650" s="2"/>
    </row>
    <row r="651" spans="3:6" x14ac:dyDescent="0.25">
      <c r="C651" s="1"/>
      <c r="D651" s="1"/>
      <c r="E651" s="2"/>
      <c r="F651" s="2"/>
    </row>
    <row r="652" spans="3:6" x14ac:dyDescent="0.25">
      <c r="C652" s="1"/>
      <c r="D652" s="1"/>
      <c r="E652" s="2"/>
      <c r="F652" s="2"/>
    </row>
    <row r="653" spans="3:6" x14ac:dyDescent="0.25">
      <c r="C653" s="1"/>
      <c r="D653" s="1"/>
      <c r="E653" s="2"/>
      <c r="F653" s="2"/>
    </row>
    <row r="654" spans="3:6" x14ac:dyDescent="0.25">
      <c r="C654" s="1"/>
      <c r="D654" s="1"/>
      <c r="E654" s="2"/>
      <c r="F654" s="2"/>
    </row>
    <row r="655" spans="3:6" x14ac:dyDescent="0.25">
      <c r="C655" s="1"/>
      <c r="D655" s="1"/>
      <c r="E655" s="2"/>
      <c r="F655" s="2"/>
    </row>
    <row r="656" spans="3:6" x14ac:dyDescent="0.25">
      <c r="C656" s="1"/>
      <c r="D656" s="1"/>
      <c r="E656" s="2"/>
      <c r="F656" s="2"/>
    </row>
    <row r="657" spans="3:6" x14ac:dyDescent="0.25">
      <c r="C657" s="1"/>
      <c r="D657" s="1"/>
      <c r="E657" s="2"/>
      <c r="F657" s="2"/>
    </row>
    <row r="658" spans="3:6" x14ac:dyDescent="0.25">
      <c r="C658" s="1"/>
      <c r="D658" s="1"/>
      <c r="E658" s="2"/>
      <c r="F658" s="2"/>
    </row>
    <row r="659" spans="3:6" x14ac:dyDescent="0.25">
      <c r="C659" s="1"/>
      <c r="D659" s="1"/>
      <c r="E659" s="2"/>
      <c r="F659" s="2"/>
    </row>
    <row r="660" spans="3:6" x14ac:dyDescent="0.25">
      <c r="C660" s="1"/>
      <c r="D660" s="1"/>
      <c r="E660" s="2"/>
      <c r="F660" s="2"/>
    </row>
    <row r="661" spans="3:6" x14ac:dyDescent="0.25">
      <c r="C661" s="1"/>
      <c r="D661" s="1"/>
      <c r="E661" s="2"/>
      <c r="F661" s="2"/>
    </row>
    <row r="662" spans="3:6" x14ac:dyDescent="0.25">
      <c r="C662" s="1"/>
      <c r="D662" s="1"/>
      <c r="E662" s="2"/>
      <c r="F662" s="2"/>
    </row>
    <row r="663" spans="3:6" x14ac:dyDescent="0.25">
      <c r="C663" s="1"/>
      <c r="D663" s="1"/>
      <c r="E663" s="2"/>
      <c r="F663" s="2"/>
    </row>
    <row r="664" spans="3:6" x14ac:dyDescent="0.25">
      <c r="C664" s="1"/>
      <c r="D664" s="1"/>
      <c r="E664" s="2"/>
      <c r="F664" s="2"/>
    </row>
    <row r="665" spans="3:6" x14ac:dyDescent="0.25">
      <c r="C665" s="1"/>
      <c r="D665" s="1"/>
      <c r="E665" s="2"/>
      <c r="F665" s="2"/>
    </row>
    <row r="666" spans="3:6" x14ac:dyDescent="0.25">
      <c r="C666" s="1"/>
      <c r="D666" s="1"/>
      <c r="E666" s="2"/>
      <c r="F666" s="2"/>
    </row>
    <row r="667" spans="3:6" x14ac:dyDescent="0.25">
      <c r="C667" s="1"/>
      <c r="D667" s="1"/>
      <c r="E667" s="2"/>
      <c r="F667" s="2"/>
    </row>
    <row r="668" spans="3:6" x14ac:dyDescent="0.25">
      <c r="C668" s="1"/>
      <c r="D668" s="1"/>
      <c r="E668" s="2"/>
      <c r="F668" s="2"/>
    </row>
    <row r="669" spans="3:6" x14ac:dyDescent="0.25">
      <c r="C669" s="1"/>
      <c r="D669" s="1"/>
      <c r="E669" s="2"/>
      <c r="F669" s="2"/>
    </row>
    <row r="670" spans="3:6" x14ac:dyDescent="0.25">
      <c r="C670" s="1"/>
      <c r="D670" s="1"/>
      <c r="E670" s="2"/>
      <c r="F670" s="2"/>
    </row>
    <row r="671" spans="3:6" x14ac:dyDescent="0.25">
      <c r="C671" s="1"/>
      <c r="D671" s="1"/>
      <c r="E671" s="2"/>
      <c r="F671" s="2"/>
    </row>
    <row r="672" spans="3:6" x14ac:dyDescent="0.25">
      <c r="C672" s="1"/>
      <c r="D672" s="1"/>
      <c r="E672" s="2"/>
      <c r="F672" s="2"/>
    </row>
    <row r="673" spans="3:6" x14ac:dyDescent="0.25">
      <c r="C673" s="1"/>
      <c r="D673" s="1"/>
      <c r="E673" s="2"/>
      <c r="F673" s="2"/>
    </row>
    <row r="674" spans="3:6" x14ac:dyDescent="0.25">
      <c r="C674" s="1"/>
      <c r="D674" s="1"/>
      <c r="E674" s="2"/>
      <c r="F674" s="2"/>
    </row>
    <row r="675" spans="3:6" x14ac:dyDescent="0.25">
      <c r="C675" s="1"/>
      <c r="D675" s="1"/>
      <c r="E675" s="2"/>
      <c r="F675" s="2"/>
    </row>
    <row r="676" spans="3:6" x14ac:dyDescent="0.25">
      <c r="C676" s="1"/>
      <c r="D676" s="1"/>
      <c r="E676" s="2"/>
      <c r="F676" s="2"/>
    </row>
    <row r="677" spans="3:6" x14ac:dyDescent="0.25">
      <c r="C677" s="1"/>
      <c r="D677" s="1"/>
      <c r="E677" s="2"/>
      <c r="F677" s="2"/>
    </row>
    <row r="678" spans="3:6" x14ac:dyDescent="0.25">
      <c r="C678" s="1"/>
      <c r="D678" s="1"/>
      <c r="E678" s="2"/>
      <c r="F678" s="2"/>
    </row>
    <row r="679" spans="3:6" x14ac:dyDescent="0.25">
      <c r="C679" s="1"/>
      <c r="D679" s="1"/>
      <c r="E679" s="2"/>
      <c r="F679" s="2"/>
    </row>
    <row r="680" spans="3:6" x14ac:dyDescent="0.25">
      <c r="C680" s="1"/>
      <c r="D680" s="1"/>
      <c r="E680" s="2"/>
      <c r="F680" s="2"/>
    </row>
    <row r="681" spans="3:6" x14ac:dyDescent="0.25">
      <c r="C681" s="1"/>
      <c r="D681" s="1"/>
      <c r="E681" s="2"/>
      <c r="F681" s="2"/>
    </row>
    <row r="682" spans="3:6" x14ac:dyDescent="0.25">
      <c r="C682" s="1"/>
      <c r="D682" s="1"/>
      <c r="E682" s="2"/>
      <c r="F682" s="2"/>
    </row>
    <row r="683" spans="3:6" x14ac:dyDescent="0.25">
      <c r="C683" s="1"/>
      <c r="D683" s="1"/>
      <c r="E683" s="2"/>
      <c r="F683" s="2"/>
    </row>
    <row r="684" spans="3:6" x14ac:dyDescent="0.25">
      <c r="C684" s="1"/>
      <c r="D684" s="1"/>
      <c r="E684" s="2"/>
      <c r="F684" s="2"/>
    </row>
    <row r="685" spans="3:6" x14ac:dyDescent="0.25">
      <c r="C685" s="1"/>
      <c r="D685" s="1"/>
      <c r="E685" s="2"/>
      <c r="F685" s="2"/>
    </row>
    <row r="686" spans="3:6" x14ac:dyDescent="0.25">
      <c r="C686" s="1"/>
      <c r="D686" s="1"/>
      <c r="E686" s="2"/>
      <c r="F686" s="2"/>
    </row>
    <row r="687" spans="3:6" x14ac:dyDescent="0.25">
      <c r="C687" s="1"/>
      <c r="D687" s="1"/>
      <c r="E687" s="2"/>
      <c r="F687" s="2"/>
    </row>
    <row r="688" spans="3:6" x14ac:dyDescent="0.25">
      <c r="C688" s="1"/>
      <c r="D688" s="1"/>
      <c r="E688" s="2"/>
      <c r="F688" s="2"/>
    </row>
    <row r="689" spans="3:6" x14ac:dyDescent="0.25">
      <c r="C689" s="1"/>
      <c r="D689" s="1"/>
      <c r="E689" s="2"/>
      <c r="F689" s="2"/>
    </row>
    <row r="690" spans="3:6" x14ac:dyDescent="0.25">
      <c r="C690" s="1"/>
      <c r="D690" s="1"/>
      <c r="E690" s="2"/>
      <c r="F690" s="2"/>
    </row>
    <row r="691" spans="3:6" x14ac:dyDescent="0.25">
      <c r="C691" s="1"/>
      <c r="D691" s="1"/>
      <c r="E691" s="2"/>
      <c r="F691" s="2"/>
    </row>
    <row r="692" spans="3:6" x14ac:dyDescent="0.25">
      <c r="C692" s="1"/>
      <c r="D692" s="1"/>
      <c r="E692" s="2"/>
      <c r="F692" s="2"/>
    </row>
    <row r="693" spans="3:6" x14ac:dyDescent="0.25">
      <c r="C693" s="1"/>
      <c r="D693" s="1"/>
      <c r="E693" s="2"/>
      <c r="F693" s="2"/>
    </row>
    <row r="694" spans="3:6" x14ac:dyDescent="0.25">
      <c r="C694" s="1"/>
      <c r="D694" s="1"/>
      <c r="E694" s="2"/>
      <c r="F694" s="2"/>
    </row>
    <row r="695" spans="3:6" x14ac:dyDescent="0.25">
      <c r="C695" s="1"/>
      <c r="D695" s="1"/>
      <c r="E695" s="2"/>
      <c r="F695" s="2"/>
    </row>
    <row r="696" spans="3:6" x14ac:dyDescent="0.25">
      <c r="C696" s="1"/>
      <c r="D696" s="1"/>
      <c r="E696" s="2"/>
      <c r="F696" s="2"/>
    </row>
    <row r="697" spans="3:6" x14ac:dyDescent="0.25">
      <c r="C697" s="1"/>
      <c r="D697" s="1"/>
      <c r="E697" s="2"/>
      <c r="F697" s="2"/>
    </row>
    <row r="698" spans="3:6" x14ac:dyDescent="0.25">
      <c r="C698" s="1"/>
      <c r="D698" s="1"/>
      <c r="E698" s="2"/>
      <c r="F698" s="2"/>
    </row>
    <row r="699" spans="3:6" x14ac:dyDescent="0.25">
      <c r="C699" s="1"/>
      <c r="D699" s="1"/>
      <c r="E699" s="2"/>
      <c r="F699" s="2"/>
    </row>
    <row r="700" spans="3:6" x14ac:dyDescent="0.25">
      <c r="C700" s="1"/>
      <c r="D700" s="1"/>
      <c r="E700" s="2"/>
      <c r="F700" s="2"/>
    </row>
    <row r="701" spans="3:6" x14ac:dyDescent="0.25">
      <c r="C701" s="1"/>
      <c r="D701" s="1"/>
      <c r="E701" s="2"/>
      <c r="F701" s="2"/>
    </row>
    <row r="702" spans="3:6" x14ac:dyDescent="0.25">
      <c r="C702" s="1"/>
      <c r="D702" s="1"/>
      <c r="E702" s="2"/>
      <c r="F702" s="2"/>
    </row>
    <row r="703" spans="3:6" x14ac:dyDescent="0.25">
      <c r="C703" s="1"/>
      <c r="D703" s="1"/>
      <c r="E703" s="2"/>
      <c r="F703" s="2"/>
    </row>
    <row r="704" spans="3:6" x14ac:dyDescent="0.25">
      <c r="C704" s="1"/>
      <c r="D704" s="1"/>
      <c r="E704" s="2"/>
      <c r="F704" s="2"/>
    </row>
    <row r="705" spans="3:6" x14ac:dyDescent="0.25">
      <c r="C705" s="1"/>
      <c r="D705" s="1"/>
      <c r="E705" s="2"/>
      <c r="F705" s="2"/>
    </row>
    <row r="706" spans="3:6" x14ac:dyDescent="0.25">
      <c r="C706" s="1"/>
      <c r="D706" s="1"/>
      <c r="E706" s="2"/>
      <c r="F706" s="2"/>
    </row>
    <row r="707" spans="3:6" x14ac:dyDescent="0.25">
      <c r="C707" s="1"/>
      <c r="D707" s="1"/>
      <c r="E707" s="2"/>
      <c r="F707" s="2"/>
    </row>
    <row r="708" spans="3:6" x14ac:dyDescent="0.25">
      <c r="C708" s="1"/>
      <c r="D708" s="1"/>
      <c r="E708" s="2"/>
      <c r="F708" s="2"/>
    </row>
    <row r="709" spans="3:6" x14ac:dyDescent="0.25">
      <c r="C709" s="1"/>
      <c r="D709" s="1"/>
      <c r="E709" s="2"/>
      <c r="F709" s="2"/>
    </row>
    <row r="710" spans="3:6" x14ac:dyDescent="0.25">
      <c r="C710" s="1"/>
      <c r="D710" s="1"/>
      <c r="E710" s="2"/>
      <c r="F710" s="2"/>
    </row>
    <row r="711" spans="3:6" x14ac:dyDescent="0.25">
      <c r="C711" s="1"/>
      <c r="D711" s="1"/>
      <c r="E711" s="2"/>
      <c r="F711" s="2"/>
    </row>
    <row r="712" spans="3:6" x14ac:dyDescent="0.25">
      <c r="C712" s="1"/>
      <c r="D712" s="1"/>
      <c r="E712" s="2"/>
      <c r="F712" s="2"/>
    </row>
    <row r="713" spans="3:6" x14ac:dyDescent="0.25">
      <c r="C713" s="1"/>
      <c r="D713" s="1"/>
      <c r="E713" s="2"/>
      <c r="F713" s="2"/>
    </row>
    <row r="714" spans="3:6" x14ac:dyDescent="0.25">
      <c r="C714" s="1"/>
      <c r="D714" s="1"/>
      <c r="E714" s="2"/>
      <c r="F714" s="2"/>
    </row>
    <row r="715" spans="3:6" x14ac:dyDescent="0.25">
      <c r="C715" s="1"/>
      <c r="D715" s="1"/>
      <c r="E715" s="2"/>
      <c r="F715" s="2"/>
    </row>
    <row r="716" spans="3:6" x14ac:dyDescent="0.25">
      <c r="C716" s="1"/>
      <c r="D716" s="1"/>
      <c r="E716" s="2"/>
      <c r="F716" s="2"/>
    </row>
    <row r="717" spans="3:6" x14ac:dyDescent="0.25">
      <c r="C717" s="1"/>
      <c r="D717" s="1"/>
      <c r="E717" s="2"/>
      <c r="F717" s="2"/>
    </row>
    <row r="718" spans="3:6" x14ac:dyDescent="0.25">
      <c r="C718" s="1"/>
      <c r="D718" s="1"/>
      <c r="E718" s="2"/>
      <c r="F718" s="2"/>
    </row>
    <row r="719" spans="3:6" x14ac:dyDescent="0.25">
      <c r="C719" s="1"/>
      <c r="D719" s="1"/>
      <c r="E719" s="2"/>
      <c r="F719" s="2"/>
    </row>
    <row r="720" spans="3:6" x14ac:dyDescent="0.25">
      <c r="C720" s="1"/>
      <c r="D720" s="1"/>
      <c r="E720" s="2"/>
      <c r="F720" s="2"/>
    </row>
    <row r="721" spans="3:6" x14ac:dyDescent="0.25">
      <c r="C721" s="1"/>
      <c r="D721" s="1"/>
      <c r="E721" s="2"/>
      <c r="F721" s="2"/>
    </row>
    <row r="722" spans="3:6" x14ac:dyDescent="0.25">
      <c r="C722" s="1"/>
      <c r="D722" s="1"/>
      <c r="E722" s="2"/>
      <c r="F722" s="2"/>
    </row>
    <row r="723" spans="3:6" x14ac:dyDescent="0.25">
      <c r="C723" s="1"/>
      <c r="D723" s="1"/>
      <c r="E723" s="2"/>
      <c r="F723" s="2"/>
    </row>
    <row r="724" spans="3:6" x14ac:dyDescent="0.25">
      <c r="C724" s="1"/>
      <c r="D724" s="1"/>
      <c r="E724" s="2"/>
      <c r="F724" s="2"/>
    </row>
    <row r="725" spans="3:6" x14ac:dyDescent="0.25">
      <c r="C725" s="1"/>
      <c r="D725" s="1"/>
      <c r="E725" s="2"/>
      <c r="F725" s="2"/>
    </row>
    <row r="726" spans="3:6" x14ac:dyDescent="0.25">
      <c r="C726" s="1"/>
      <c r="D726" s="1"/>
      <c r="E726" s="2"/>
      <c r="F726" s="2"/>
    </row>
    <row r="727" spans="3:6" x14ac:dyDescent="0.25">
      <c r="C727" s="1"/>
      <c r="D727" s="1"/>
      <c r="E727" s="2"/>
      <c r="F727" s="2"/>
    </row>
    <row r="728" spans="3:6" x14ac:dyDescent="0.25">
      <c r="C728" s="1"/>
      <c r="D728" s="1"/>
      <c r="E728" s="2"/>
      <c r="F728" s="2"/>
    </row>
    <row r="729" spans="3:6" x14ac:dyDescent="0.25">
      <c r="C729" s="1"/>
      <c r="D729" s="1"/>
      <c r="E729" s="2"/>
      <c r="F729" s="2"/>
    </row>
    <row r="730" spans="3:6" x14ac:dyDescent="0.25">
      <c r="C730" s="1"/>
      <c r="D730" s="1"/>
      <c r="E730" s="2"/>
      <c r="F730" s="2"/>
    </row>
    <row r="731" spans="3:6" x14ac:dyDescent="0.25">
      <c r="C731" s="1"/>
      <c r="D731" s="1"/>
      <c r="E731" s="2"/>
      <c r="F731" s="2"/>
    </row>
    <row r="732" spans="3:6" x14ac:dyDescent="0.25">
      <c r="C732" s="1"/>
      <c r="D732" s="1"/>
      <c r="E732" s="2"/>
      <c r="F732" s="2"/>
    </row>
    <row r="733" spans="3:6" x14ac:dyDescent="0.25">
      <c r="C733" s="1"/>
      <c r="D733" s="1"/>
      <c r="E733" s="2"/>
      <c r="F733" s="2"/>
    </row>
    <row r="734" spans="3:6" x14ac:dyDescent="0.25">
      <c r="C734" s="1"/>
      <c r="D734" s="1"/>
      <c r="E734" s="2"/>
      <c r="F734" s="2"/>
    </row>
    <row r="735" spans="3:6" x14ac:dyDescent="0.25">
      <c r="C735" s="1"/>
      <c r="D735" s="1"/>
      <c r="E735" s="2"/>
      <c r="F735" s="2"/>
    </row>
    <row r="736" spans="3:6" x14ac:dyDescent="0.25">
      <c r="C736" s="1"/>
      <c r="D736" s="1"/>
      <c r="E736" s="2"/>
      <c r="F736" s="2"/>
    </row>
    <row r="737" spans="3:6" x14ac:dyDescent="0.25">
      <c r="C737" s="1"/>
      <c r="D737" s="1"/>
      <c r="E737" s="2"/>
      <c r="F737" s="2"/>
    </row>
    <row r="738" spans="3:6" x14ac:dyDescent="0.25">
      <c r="C738" s="1"/>
      <c r="D738" s="1"/>
      <c r="E738" s="2"/>
      <c r="F738" s="2"/>
    </row>
    <row r="739" spans="3:6" x14ac:dyDescent="0.25">
      <c r="C739" s="1"/>
      <c r="D739" s="1"/>
      <c r="E739" s="2"/>
      <c r="F739" s="2"/>
    </row>
    <row r="740" spans="3:6" x14ac:dyDescent="0.25">
      <c r="C740" s="1"/>
      <c r="D740" s="1"/>
      <c r="E740" s="2"/>
      <c r="F740" s="2"/>
    </row>
    <row r="741" spans="3:6" x14ac:dyDescent="0.25">
      <c r="C741" s="1"/>
      <c r="D741" s="1"/>
      <c r="E741" s="2"/>
      <c r="F741" s="2"/>
    </row>
    <row r="742" spans="3:6" x14ac:dyDescent="0.25">
      <c r="C742" s="1"/>
      <c r="D742" s="1"/>
      <c r="E742" s="2"/>
      <c r="F742" s="2"/>
    </row>
    <row r="743" spans="3:6" x14ac:dyDescent="0.25">
      <c r="C743" s="1"/>
      <c r="D743" s="1"/>
      <c r="E743" s="2"/>
      <c r="F743" s="2"/>
    </row>
    <row r="744" spans="3:6" x14ac:dyDescent="0.25">
      <c r="C744" s="1"/>
      <c r="D744" s="1"/>
      <c r="E744" s="2"/>
      <c r="F744" s="2"/>
    </row>
    <row r="745" spans="3:6" x14ac:dyDescent="0.25">
      <c r="C745" s="1"/>
      <c r="D745" s="1"/>
      <c r="E745" s="2"/>
      <c r="F745" s="2"/>
    </row>
    <row r="746" spans="3:6" x14ac:dyDescent="0.25">
      <c r="C746" s="1"/>
      <c r="D746" s="1"/>
      <c r="E746" s="2"/>
      <c r="F746" s="2"/>
    </row>
    <row r="747" spans="3:6" x14ac:dyDescent="0.25">
      <c r="C747" s="1"/>
      <c r="D747" s="1"/>
      <c r="E747" s="2"/>
      <c r="F747" s="2"/>
    </row>
    <row r="748" spans="3:6" x14ac:dyDescent="0.25">
      <c r="C748" s="1"/>
      <c r="D748" s="1"/>
      <c r="E748" s="2"/>
      <c r="F748" s="2"/>
    </row>
    <row r="749" spans="3:6" x14ac:dyDescent="0.25">
      <c r="C749" s="1"/>
      <c r="D749" s="1"/>
      <c r="E749" s="2"/>
      <c r="F749" s="2"/>
    </row>
    <row r="750" spans="3:6" x14ac:dyDescent="0.25">
      <c r="C750" s="1"/>
      <c r="D750" s="1"/>
      <c r="E750" s="2"/>
      <c r="F750" s="2"/>
    </row>
    <row r="751" spans="3:6" x14ac:dyDescent="0.25">
      <c r="C751" s="1"/>
      <c r="D751" s="1"/>
      <c r="E751" s="2"/>
      <c r="F751" s="2"/>
    </row>
    <row r="752" spans="3:6" x14ac:dyDescent="0.25">
      <c r="C752" s="1"/>
      <c r="D752" s="1"/>
      <c r="E752" s="2"/>
      <c r="F752" s="2"/>
    </row>
    <row r="753" spans="3:6" x14ac:dyDescent="0.25">
      <c r="C753" s="1"/>
      <c r="D753" s="1"/>
      <c r="E753" s="2"/>
      <c r="F753" s="2"/>
    </row>
    <row r="754" spans="3:6" x14ac:dyDescent="0.25">
      <c r="C754" s="1"/>
      <c r="D754" s="1"/>
      <c r="E754" s="2"/>
      <c r="F754" s="2"/>
    </row>
    <row r="755" spans="3:6" x14ac:dyDescent="0.25">
      <c r="C755" s="1"/>
      <c r="D755" s="1"/>
      <c r="E755" s="2"/>
      <c r="F755" s="2"/>
    </row>
    <row r="756" spans="3:6" x14ac:dyDescent="0.25">
      <c r="C756" s="1"/>
      <c r="D756" s="1"/>
      <c r="E756" s="2"/>
      <c r="F756" s="2"/>
    </row>
    <row r="757" spans="3:6" x14ac:dyDescent="0.25">
      <c r="C757" s="1"/>
      <c r="D757" s="1"/>
      <c r="E757" s="2"/>
      <c r="F757" s="2"/>
    </row>
    <row r="758" spans="3:6" x14ac:dyDescent="0.25">
      <c r="C758" s="1"/>
      <c r="D758" s="1"/>
      <c r="E758" s="2"/>
      <c r="F758" s="2"/>
    </row>
    <row r="759" spans="3:6" x14ac:dyDescent="0.25">
      <c r="C759" s="1"/>
      <c r="D759" s="1"/>
      <c r="E759" s="2"/>
      <c r="F759" s="2"/>
    </row>
    <row r="760" spans="3:6" x14ac:dyDescent="0.25">
      <c r="C760" s="1"/>
      <c r="D760" s="1"/>
      <c r="E760" s="2"/>
      <c r="F760" s="2"/>
    </row>
    <row r="761" spans="3:6" x14ac:dyDescent="0.25">
      <c r="C761" s="1"/>
      <c r="D761" s="1"/>
      <c r="E761" s="2"/>
      <c r="F761" s="2"/>
    </row>
    <row r="762" spans="3:6" x14ac:dyDescent="0.25">
      <c r="C762" s="1"/>
      <c r="D762" s="1"/>
      <c r="E762" s="2"/>
      <c r="F762" s="2"/>
    </row>
    <row r="763" spans="3:6" x14ac:dyDescent="0.25">
      <c r="C763" s="1"/>
      <c r="D763" s="1"/>
      <c r="E763" s="2"/>
      <c r="F763" s="2"/>
    </row>
    <row r="764" spans="3:6" x14ac:dyDescent="0.25">
      <c r="C764" s="1"/>
      <c r="D764" s="1"/>
      <c r="E764" s="2"/>
      <c r="F764" s="2"/>
    </row>
    <row r="765" spans="3:6" x14ac:dyDescent="0.25">
      <c r="C765" s="1"/>
      <c r="D765" s="1"/>
      <c r="E765" s="2"/>
      <c r="F765" s="2"/>
    </row>
    <row r="766" spans="3:6" x14ac:dyDescent="0.25">
      <c r="C766" s="1"/>
      <c r="D766" s="1"/>
      <c r="E766" s="2"/>
      <c r="F766" s="2"/>
    </row>
    <row r="767" spans="3:6" x14ac:dyDescent="0.25">
      <c r="C767" s="1"/>
      <c r="D767" s="1"/>
      <c r="E767" s="2"/>
      <c r="F767" s="2"/>
    </row>
    <row r="768" spans="3:6" x14ac:dyDescent="0.25">
      <c r="C768" s="1"/>
      <c r="D768" s="1"/>
      <c r="E768" s="2"/>
      <c r="F768" s="2"/>
    </row>
    <row r="769" spans="3:6" x14ac:dyDescent="0.25">
      <c r="C769" s="1"/>
      <c r="D769" s="1"/>
      <c r="E769" s="2"/>
      <c r="F769" s="2"/>
    </row>
    <row r="770" spans="3:6" x14ac:dyDescent="0.25">
      <c r="C770" s="1"/>
      <c r="D770" s="1"/>
      <c r="E770" s="2"/>
      <c r="F770" s="2"/>
    </row>
    <row r="771" spans="3:6" x14ac:dyDescent="0.25">
      <c r="C771" s="1"/>
      <c r="D771" s="1"/>
      <c r="E771" s="2"/>
      <c r="F771" s="2"/>
    </row>
    <row r="772" spans="3:6" x14ac:dyDescent="0.25">
      <c r="C772" s="1"/>
      <c r="D772" s="1"/>
      <c r="E772" s="2"/>
      <c r="F772" s="2"/>
    </row>
    <row r="773" spans="3:6" x14ac:dyDescent="0.25">
      <c r="C773" s="1"/>
      <c r="D773" s="1"/>
      <c r="E773" s="2"/>
      <c r="F773" s="2"/>
    </row>
    <row r="774" spans="3:6" x14ac:dyDescent="0.25">
      <c r="C774" s="1"/>
      <c r="D774" s="1"/>
      <c r="E774" s="2"/>
      <c r="F774" s="2"/>
    </row>
    <row r="775" spans="3:6" x14ac:dyDescent="0.25">
      <c r="C775" s="1"/>
      <c r="D775" s="1"/>
      <c r="E775" s="2"/>
      <c r="F775" s="2"/>
    </row>
    <row r="776" spans="3:6" x14ac:dyDescent="0.25">
      <c r="C776" s="1"/>
      <c r="D776" s="1"/>
      <c r="E776" s="2"/>
      <c r="F776" s="2"/>
    </row>
    <row r="777" spans="3:6" x14ac:dyDescent="0.25">
      <c r="C777" s="1"/>
      <c r="D777" s="1"/>
      <c r="E777" s="2"/>
      <c r="F777" s="2"/>
    </row>
    <row r="778" spans="3:6" x14ac:dyDescent="0.25">
      <c r="C778" s="1"/>
      <c r="D778" s="1"/>
      <c r="E778" s="2"/>
      <c r="F778" s="2"/>
    </row>
    <row r="779" spans="3:6" x14ac:dyDescent="0.25">
      <c r="C779" s="1"/>
      <c r="D779" s="1"/>
      <c r="E779" s="2"/>
      <c r="F779" s="2"/>
    </row>
    <row r="780" spans="3:6" x14ac:dyDescent="0.25">
      <c r="C780" s="1"/>
      <c r="D780" s="1"/>
      <c r="E780" s="2"/>
      <c r="F780" s="2"/>
    </row>
    <row r="781" spans="3:6" x14ac:dyDescent="0.25">
      <c r="C781" s="1"/>
      <c r="D781" s="1"/>
      <c r="E781" s="2"/>
      <c r="F781" s="2"/>
    </row>
    <row r="782" spans="3:6" x14ac:dyDescent="0.25">
      <c r="C782" s="1"/>
      <c r="D782" s="1"/>
      <c r="E782" s="2"/>
      <c r="F782" s="2"/>
    </row>
    <row r="783" spans="3:6" x14ac:dyDescent="0.25">
      <c r="C783" s="1"/>
      <c r="D783" s="1"/>
      <c r="E783" s="2"/>
      <c r="F783" s="2"/>
    </row>
    <row r="784" spans="3:6" x14ac:dyDescent="0.25">
      <c r="C784" s="1"/>
      <c r="D784" s="1"/>
      <c r="E784" s="2"/>
      <c r="F784" s="2"/>
    </row>
    <row r="785" spans="3:6" x14ac:dyDescent="0.25">
      <c r="C785" s="1"/>
      <c r="D785" s="1"/>
      <c r="E785" s="2"/>
      <c r="F785" s="2"/>
    </row>
    <row r="786" spans="3:6" x14ac:dyDescent="0.25">
      <c r="C786" s="1"/>
      <c r="D786" s="1"/>
      <c r="E786" s="2"/>
      <c r="F786" s="2"/>
    </row>
    <row r="787" spans="3:6" x14ac:dyDescent="0.25">
      <c r="C787" s="1"/>
      <c r="D787" s="1"/>
      <c r="E787" s="2"/>
      <c r="F787" s="2"/>
    </row>
    <row r="788" spans="3:6" x14ac:dyDescent="0.25">
      <c r="C788" s="1"/>
      <c r="D788" s="1"/>
      <c r="E788" s="2"/>
      <c r="F788" s="2"/>
    </row>
    <row r="789" spans="3:6" x14ac:dyDescent="0.25">
      <c r="C789" s="1"/>
      <c r="D789" s="1"/>
      <c r="E789" s="2"/>
      <c r="F789" s="2"/>
    </row>
    <row r="790" spans="3:6" x14ac:dyDescent="0.25">
      <c r="C790" s="1"/>
      <c r="D790" s="1"/>
      <c r="E790" s="2"/>
      <c r="F790" s="2"/>
    </row>
    <row r="791" spans="3:6" x14ac:dyDescent="0.25">
      <c r="C791" s="1"/>
      <c r="D791" s="1"/>
      <c r="E791" s="2"/>
      <c r="F791" s="2"/>
    </row>
    <row r="792" spans="3:6" x14ac:dyDescent="0.25">
      <c r="C792" s="1"/>
      <c r="D792" s="1"/>
      <c r="E792" s="2"/>
      <c r="F792" s="2"/>
    </row>
    <row r="793" spans="3:6" x14ac:dyDescent="0.25">
      <c r="C793" s="1"/>
      <c r="D793" s="1"/>
      <c r="E793" s="2"/>
      <c r="F793" s="2"/>
    </row>
    <row r="794" spans="3:6" x14ac:dyDescent="0.25">
      <c r="C794" s="1"/>
      <c r="D794" s="1"/>
      <c r="E794" s="2"/>
      <c r="F794" s="2"/>
    </row>
    <row r="795" spans="3:6" x14ac:dyDescent="0.25">
      <c r="C795" s="1"/>
      <c r="D795" s="1"/>
      <c r="E795" s="2"/>
      <c r="F795" s="2"/>
    </row>
    <row r="796" spans="3:6" x14ac:dyDescent="0.25">
      <c r="C796" s="1"/>
      <c r="D796" s="1"/>
      <c r="E796" s="2"/>
      <c r="F796" s="2"/>
    </row>
    <row r="797" spans="3:6" x14ac:dyDescent="0.25">
      <c r="C797" s="1"/>
      <c r="D797" s="1"/>
      <c r="E797" s="2"/>
      <c r="F797" s="2"/>
    </row>
    <row r="798" spans="3:6" x14ac:dyDescent="0.25">
      <c r="C798" s="1"/>
      <c r="D798" s="1"/>
      <c r="E798" s="2"/>
      <c r="F798" s="2"/>
    </row>
    <row r="799" spans="3:6" x14ac:dyDescent="0.25">
      <c r="C799" s="1"/>
      <c r="D799" s="1"/>
      <c r="E799" s="2"/>
      <c r="F799" s="2"/>
    </row>
    <row r="800" spans="3:6" x14ac:dyDescent="0.25">
      <c r="C800" s="1"/>
      <c r="D800" s="1"/>
      <c r="E800" s="2"/>
      <c r="F800" s="2"/>
    </row>
    <row r="801" spans="3:6" x14ac:dyDescent="0.25">
      <c r="C801" s="1"/>
      <c r="D801" s="1"/>
      <c r="E801" s="2"/>
      <c r="F801" s="2"/>
    </row>
    <row r="802" spans="3:6" x14ac:dyDescent="0.25">
      <c r="C802" s="1"/>
      <c r="D802" s="1"/>
      <c r="E802" s="2"/>
      <c r="F802" s="2"/>
    </row>
    <row r="803" spans="3:6" x14ac:dyDescent="0.25">
      <c r="C803" s="1"/>
      <c r="D803" s="1"/>
      <c r="E803" s="2"/>
      <c r="F803" s="2"/>
    </row>
    <row r="804" spans="3:6" x14ac:dyDescent="0.25">
      <c r="C804" s="1"/>
      <c r="D804" s="1"/>
      <c r="E804" s="2"/>
      <c r="F804" s="2"/>
    </row>
    <row r="805" spans="3:6" x14ac:dyDescent="0.25">
      <c r="C805" s="1"/>
      <c r="D805" s="1"/>
      <c r="E805" s="2"/>
      <c r="F805" s="2"/>
    </row>
    <row r="806" spans="3:6" x14ac:dyDescent="0.25">
      <c r="C806" s="1"/>
      <c r="D806" s="1"/>
      <c r="E806" s="2"/>
      <c r="F806" s="2"/>
    </row>
    <row r="807" spans="3:6" x14ac:dyDescent="0.25">
      <c r="C807" s="1"/>
      <c r="D807" s="1"/>
      <c r="E807" s="2"/>
      <c r="F807" s="2"/>
    </row>
    <row r="808" spans="3:6" x14ac:dyDescent="0.25">
      <c r="C808" s="1"/>
      <c r="D808" s="1"/>
      <c r="E808" s="2"/>
      <c r="F808" s="2"/>
    </row>
    <row r="809" spans="3:6" x14ac:dyDescent="0.25">
      <c r="C809" s="1"/>
      <c r="D809" s="1"/>
      <c r="E809" s="2"/>
      <c r="F809" s="2"/>
    </row>
    <row r="810" spans="3:6" x14ac:dyDescent="0.25">
      <c r="C810" s="1"/>
      <c r="D810" s="1"/>
      <c r="E810" s="2"/>
      <c r="F810" s="2"/>
    </row>
    <row r="811" spans="3:6" x14ac:dyDescent="0.25">
      <c r="C811" s="1"/>
      <c r="D811" s="1"/>
      <c r="E811" s="2"/>
      <c r="F811" s="2"/>
    </row>
    <row r="812" spans="3:6" x14ac:dyDescent="0.25">
      <c r="C812" s="1"/>
      <c r="D812" s="1"/>
      <c r="E812" s="2"/>
      <c r="F812" s="2"/>
    </row>
    <row r="813" spans="3:6" x14ac:dyDescent="0.25">
      <c r="C813" s="1"/>
      <c r="D813" s="1"/>
      <c r="E813" s="2"/>
      <c r="F813" s="2"/>
    </row>
    <row r="814" spans="3:6" x14ac:dyDescent="0.25">
      <c r="C814" s="1"/>
      <c r="D814" s="1"/>
      <c r="E814" s="2"/>
      <c r="F814" s="2"/>
    </row>
    <row r="815" spans="3:6" x14ac:dyDescent="0.25">
      <c r="C815" s="1"/>
      <c r="D815" s="1"/>
      <c r="E815" s="2"/>
      <c r="F815" s="2"/>
    </row>
    <row r="816" spans="3:6" x14ac:dyDescent="0.25">
      <c r="C816" s="1"/>
      <c r="D816" s="1"/>
      <c r="E816" s="2"/>
      <c r="F816" s="2"/>
    </row>
    <row r="817" spans="3:6" x14ac:dyDescent="0.25">
      <c r="C817" s="1"/>
      <c r="D817" s="1"/>
      <c r="E817" s="2"/>
      <c r="F817" s="2"/>
    </row>
    <row r="818" spans="3:6" x14ac:dyDescent="0.25">
      <c r="C818" s="1"/>
      <c r="D818" s="1"/>
      <c r="E818" s="2"/>
      <c r="F818" s="2"/>
    </row>
    <row r="819" spans="3:6" x14ac:dyDescent="0.25">
      <c r="C819" s="1"/>
      <c r="D819" s="1"/>
      <c r="E819" s="2"/>
      <c r="F819" s="2"/>
    </row>
    <row r="820" spans="3:6" x14ac:dyDescent="0.25">
      <c r="C820" s="1"/>
      <c r="D820" s="1"/>
      <c r="E820" s="2"/>
      <c r="F820" s="2"/>
    </row>
    <row r="821" spans="3:6" x14ac:dyDescent="0.25">
      <c r="C821" s="1"/>
      <c r="D821" s="1"/>
      <c r="E821" s="2"/>
      <c r="F821" s="2"/>
    </row>
    <row r="822" spans="3:6" x14ac:dyDescent="0.25">
      <c r="C822" s="1"/>
      <c r="D822" s="1"/>
      <c r="E822" s="2"/>
      <c r="F822" s="2"/>
    </row>
    <row r="823" spans="3:6" x14ac:dyDescent="0.25">
      <c r="C823" s="1"/>
      <c r="D823" s="1"/>
      <c r="E823" s="2"/>
      <c r="F823" s="2"/>
    </row>
    <row r="824" spans="3:6" x14ac:dyDescent="0.25">
      <c r="C824" s="1"/>
      <c r="D824" s="1"/>
      <c r="E824" s="2"/>
      <c r="F824" s="2"/>
    </row>
    <row r="825" spans="3:6" x14ac:dyDescent="0.25">
      <c r="C825" s="1"/>
      <c r="D825" s="1"/>
      <c r="E825" s="2"/>
      <c r="F825" s="2"/>
    </row>
    <row r="826" spans="3:6" x14ac:dyDescent="0.25">
      <c r="C826" s="1"/>
      <c r="D826" s="1"/>
      <c r="E826" s="2"/>
      <c r="F826" s="2"/>
    </row>
    <row r="827" spans="3:6" x14ac:dyDescent="0.25">
      <c r="C827" s="1"/>
      <c r="D827" s="1"/>
      <c r="E827" s="2"/>
      <c r="F827" s="2"/>
    </row>
    <row r="828" spans="3:6" x14ac:dyDescent="0.25">
      <c r="C828" s="1"/>
      <c r="D828" s="1"/>
      <c r="E828" s="2"/>
      <c r="F828" s="2"/>
    </row>
    <row r="829" spans="3:6" x14ac:dyDescent="0.25">
      <c r="C829" s="1"/>
      <c r="D829" s="1"/>
      <c r="E829" s="2"/>
      <c r="F829" s="2"/>
    </row>
    <row r="830" spans="3:6" x14ac:dyDescent="0.25">
      <c r="C830" s="1"/>
      <c r="D830" s="1"/>
      <c r="E830" s="2"/>
      <c r="F830" s="2"/>
    </row>
    <row r="831" spans="3:6" x14ac:dyDescent="0.25">
      <c r="C831" s="1"/>
      <c r="D831" s="1"/>
      <c r="E831" s="2"/>
      <c r="F831" s="2"/>
    </row>
    <row r="832" spans="3:6" x14ac:dyDescent="0.25">
      <c r="C832" s="1"/>
      <c r="D832" s="1"/>
      <c r="E832" s="2"/>
      <c r="F832" s="2"/>
    </row>
    <row r="833" spans="3:6" x14ac:dyDescent="0.25">
      <c r="C833" s="1"/>
      <c r="D833" s="1"/>
      <c r="E833" s="2"/>
      <c r="F833" s="2"/>
    </row>
    <row r="834" spans="3:6" x14ac:dyDescent="0.25">
      <c r="C834" s="1"/>
      <c r="D834" s="1"/>
      <c r="E834" s="2"/>
      <c r="F834" s="2"/>
    </row>
    <row r="835" spans="3:6" x14ac:dyDescent="0.25">
      <c r="C835" s="1"/>
      <c r="D835" s="1"/>
      <c r="E835" s="2"/>
      <c r="F835" s="2"/>
    </row>
    <row r="836" spans="3:6" x14ac:dyDescent="0.25">
      <c r="C836" s="1"/>
      <c r="D836" s="1"/>
      <c r="E836" s="2"/>
      <c r="F836" s="2"/>
    </row>
    <row r="837" spans="3:6" x14ac:dyDescent="0.25">
      <c r="C837" s="1"/>
      <c r="D837" s="1"/>
      <c r="E837" s="2"/>
      <c r="F837" s="2"/>
    </row>
    <row r="838" spans="3:6" x14ac:dyDescent="0.25">
      <c r="C838" s="1"/>
      <c r="D838" s="1"/>
      <c r="E838" s="2"/>
      <c r="F838" s="2"/>
    </row>
    <row r="839" spans="3:6" x14ac:dyDescent="0.25">
      <c r="C839" s="1"/>
      <c r="D839" s="1"/>
      <c r="E839" s="2"/>
      <c r="F839" s="2"/>
    </row>
    <row r="840" spans="3:6" x14ac:dyDescent="0.25">
      <c r="C840" s="1"/>
      <c r="D840" s="1"/>
      <c r="E840" s="2"/>
      <c r="F840" s="2"/>
    </row>
    <row r="841" spans="3:6" x14ac:dyDescent="0.25">
      <c r="C841" s="1"/>
      <c r="D841" s="1"/>
      <c r="E841" s="2"/>
      <c r="F841" s="2"/>
    </row>
    <row r="842" spans="3:6" x14ac:dyDescent="0.25">
      <c r="C842" s="1"/>
      <c r="D842" s="1"/>
      <c r="E842" s="2"/>
      <c r="F842" s="2"/>
    </row>
    <row r="843" spans="3:6" x14ac:dyDescent="0.25">
      <c r="C843" s="1"/>
      <c r="D843" s="1"/>
      <c r="E843" s="2"/>
      <c r="F843" s="2"/>
    </row>
    <row r="844" spans="3:6" x14ac:dyDescent="0.25">
      <c r="C844" s="1"/>
      <c r="D844" s="1"/>
      <c r="E844" s="2"/>
      <c r="F844" s="2"/>
    </row>
    <row r="845" spans="3:6" x14ac:dyDescent="0.25">
      <c r="C845" s="1"/>
      <c r="D845" s="1"/>
      <c r="E845" s="2"/>
      <c r="F845" s="2"/>
    </row>
    <row r="846" spans="3:6" x14ac:dyDescent="0.25">
      <c r="C846" s="1"/>
      <c r="D846" s="1"/>
      <c r="E846" s="2"/>
      <c r="F846" s="2"/>
    </row>
    <row r="847" spans="3:6" x14ac:dyDescent="0.25">
      <c r="C847" s="1"/>
      <c r="D847" s="1"/>
      <c r="E847" s="2"/>
      <c r="F847" s="2"/>
    </row>
    <row r="848" spans="3:6" x14ac:dyDescent="0.25">
      <c r="C848" s="1"/>
      <c r="D848" s="1"/>
      <c r="E848" s="2"/>
      <c r="F848" s="2"/>
    </row>
    <row r="849" spans="3:6" x14ac:dyDescent="0.25">
      <c r="C849" s="1"/>
      <c r="D849" s="1"/>
      <c r="E849" s="2"/>
      <c r="F849" s="2"/>
    </row>
    <row r="850" spans="3:6" x14ac:dyDescent="0.25">
      <c r="C850" s="1"/>
      <c r="D850" s="1"/>
      <c r="E850" s="2"/>
      <c r="F850" s="2"/>
    </row>
    <row r="851" spans="3:6" x14ac:dyDescent="0.25">
      <c r="C851" s="1"/>
      <c r="D851" s="1"/>
      <c r="E851" s="2"/>
      <c r="F851" s="2"/>
    </row>
    <row r="852" spans="3:6" x14ac:dyDescent="0.25">
      <c r="C852" s="1"/>
      <c r="D852" s="1"/>
      <c r="E852" s="2"/>
      <c r="F852" s="2"/>
    </row>
    <row r="853" spans="3:6" x14ac:dyDescent="0.25">
      <c r="C853" s="1"/>
      <c r="D853" s="1"/>
      <c r="E853" s="2"/>
      <c r="F853" s="2"/>
    </row>
    <row r="854" spans="3:6" x14ac:dyDescent="0.25">
      <c r="C854" s="1"/>
      <c r="D854" s="1"/>
      <c r="E854" s="2"/>
      <c r="F854" s="2"/>
    </row>
    <row r="855" spans="3:6" x14ac:dyDescent="0.25">
      <c r="C855" s="1"/>
      <c r="D855" s="1"/>
      <c r="E855" s="2"/>
      <c r="F855" s="2"/>
    </row>
    <row r="856" spans="3:6" x14ac:dyDescent="0.25">
      <c r="C856" s="1"/>
      <c r="D856" s="1"/>
      <c r="E856" s="2"/>
      <c r="F856" s="2"/>
    </row>
    <row r="857" spans="3:6" x14ac:dyDescent="0.25">
      <c r="C857" s="1"/>
      <c r="D857" s="1"/>
      <c r="E857" s="2"/>
      <c r="F857" s="2"/>
    </row>
    <row r="858" spans="3:6" x14ac:dyDescent="0.25">
      <c r="C858" s="1"/>
      <c r="D858" s="1"/>
      <c r="E858" s="2"/>
      <c r="F858" s="2"/>
    </row>
    <row r="859" spans="3:6" x14ac:dyDescent="0.25">
      <c r="C859" s="1"/>
      <c r="D859" s="1"/>
      <c r="E859" s="2"/>
      <c r="F859" s="2"/>
    </row>
    <row r="860" spans="3:6" x14ac:dyDescent="0.25">
      <c r="C860" s="1"/>
      <c r="D860" s="1"/>
      <c r="E860" s="2"/>
      <c r="F860" s="2"/>
    </row>
    <row r="861" spans="3:6" x14ac:dyDescent="0.25">
      <c r="C861" s="1"/>
      <c r="D861" s="1"/>
      <c r="E861" s="2"/>
      <c r="F861" s="2"/>
    </row>
    <row r="862" spans="3:6" x14ac:dyDescent="0.25">
      <c r="C862" s="1"/>
      <c r="D862" s="1"/>
      <c r="E862" s="2"/>
      <c r="F862" s="2"/>
    </row>
    <row r="863" spans="3:6" x14ac:dyDescent="0.25">
      <c r="C863" s="1"/>
      <c r="D863" s="1"/>
      <c r="E863" s="2"/>
      <c r="F863" s="2"/>
    </row>
    <row r="864" spans="3:6" x14ac:dyDescent="0.25">
      <c r="C864" s="1"/>
      <c r="D864" s="1"/>
      <c r="E864" s="2"/>
      <c r="F864" s="2"/>
    </row>
    <row r="865" spans="3:6" x14ac:dyDescent="0.25">
      <c r="C865" s="1"/>
      <c r="D865" s="1"/>
      <c r="E865" s="2"/>
      <c r="F865" s="2"/>
    </row>
    <row r="866" spans="3:6" x14ac:dyDescent="0.25">
      <c r="C866" s="1"/>
      <c r="D866" s="1"/>
      <c r="E866" s="2"/>
      <c r="F866" s="2"/>
    </row>
    <row r="867" spans="3:6" x14ac:dyDescent="0.25">
      <c r="C867" s="1"/>
      <c r="D867" s="1"/>
      <c r="E867" s="2"/>
      <c r="F867" s="2"/>
    </row>
    <row r="868" spans="3:6" x14ac:dyDescent="0.25">
      <c r="C868" s="1"/>
      <c r="D868" s="1"/>
      <c r="E868" s="2"/>
      <c r="F868" s="2"/>
    </row>
    <row r="869" spans="3:6" x14ac:dyDescent="0.25">
      <c r="C869" s="1"/>
      <c r="D869" s="1"/>
      <c r="E869" s="2"/>
      <c r="F869" s="2"/>
    </row>
    <row r="870" spans="3:6" x14ac:dyDescent="0.25">
      <c r="C870" s="1"/>
      <c r="D870" s="1"/>
      <c r="E870" s="2"/>
      <c r="F870" s="2"/>
    </row>
    <row r="871" spans="3:6" x14ac:dyDescent="0.25">
      <c r="C871" s="1"/>
      <c r="D871" s="1"/>
      <c r="E871" s="2"/>
      <c r="F871" s="2"/>
    </row>
    <row r="872" spans="3:6" x14ac:dyDescent="0.25">
      <c r="C872" s="1"/>
      <c r="D872" s="1"/>
      <c r="E872" s="2"/>
      <c r="F872" s="2"/>
    </row>
    <row r="873" spans="3:6" x14ac:dyDescent="0.25">
      <c r="C873" s="1"/>
      <c r="D873" s="1"/>
      <c r="E873" s="2"/>
      <c r="F873" s="2"/>
    </row>
    <row r="874" spans="3:6" x14ac:dyDescent="0.25">
      <c r="C874" s="1"/>
      <c r="D874" s="1"/>
      <c r="E874" s="2"/>
      <c r="F874" s="2"/>
    </row>
    <row r="875" spans="3:6" x14ac:dyDescent="0.25">
      <c r="C875" s="1"/>
      <c r="D875" s="1"/>
      <c r="E875" s="2"/>
      <c r="F875" s="2"/>
    </row>
    <row r="876" spans="3:6" x14ac:dyDescent="0.25">
      <c r="C876" s="1"/>
      <c r="D876" s="1"/>
      <c r="E876" s="2"/>
      <c r="F876" s="2"/>
    </row>
    <row r="877" spans="3:6" x14ac:dyDescent="0.25">
      <c r="C877" s="1"/>
      <c r="D877" s="1"/>
      <c r="E877" s="2"/>
      <c r="F877" s="2"/>
    </row>
    <row r="878" spans="3:6" x14ac:dyDescent="0.25">
      <c r="C878" s="1"/>
      <c r="D878" s="1"/>
      <c r="E878" s="2"/>
      <c r="F878" s="2"/>
    </row>
    <row r="879" spans="3:6" x14ac:dyDescent="0.25">
      <c r="C879" s="1"/>
      <c r="D879" s="1"/>
      <c r="E879" s="2"/>
      <c r="F879" s="2"/>
    </row>
    <row r="880" spans="3:6" x14ac:dyDescent="0.25">
      <c r="C880" s="1"/>
      <c r="D880" s="1"/>
      <c r="E880" s="2"/>
      <c r="F880" s="2"/>
    </row>
    <row r="881" spans="3:6" x14ac:dyDescent="0.25">
      <c r="C881" s="1"/>
      <c r="D881" s="1"/>
      <c r="E881" s="2"/>
      <c r="F881" s="2"/>
    </row>
    <row r="882" spans="3:6" x14ac:dyDescent="0.25">
      <c r="C882" s="1"/>
      <c r="D882" s="1"/>
      <c r="E882" s="2"/>
      <c r="F882" s="2"/>
    </row>
    <row r="883" spans="3:6" x14ac:dyDescent="0.25">
      <c r="C883" s="1"/>
      <c r="D883" s="1"/>
      <c r="E883" s="2"/>
      <c r="F883" s="2"/>
    </row>
    <row r="884" spans="3:6" x14ac:dyDescent="0.25">
      <c r="C884" s="1"/>
      <c r="D884" s="1"/>
      <c r="E884" s="2"/>
      <c r="F884" s="2"/>
    </row>
    <row r="885" spans="3:6" x14ac:dyDescent="0.25">
      <c r="C885" s="1"/>
      <c r="D885" s="1"/>
      <c r="E885" s="2"/>
      <c r="F885" s="2"/>
    </row>
    <row r="886" spans="3:6" x14ac:dyDescent="0.25">
      <c r="C886" s="1"/>
      <c r="D886" s="1"/>
      <c r="E886" s="2"/>
      <c r="F886" s="2"/>
    </row>
    <row r="887" spans="3:6" x14ac:dyDescent="0.25">
      <c r="C887" s="1"/>
      <c r="D887" s="1"/>
      <c r="E887" s="2"/>
      <c r="F887" s="2"/>
    </row>
    <row r="888" spans="3:6" x14ac:dyDescent="0.25">
      <c r="C888" s="1"/>
      <c r="D888" s="1"/>
      <c r="E888" s="2"/>
      <c r="F888" s="2"/>
    </row>
    <row r="889" spans="3:6" x14ac:dyDescent="0.25">
      <c r="C889" s="1"/>
      <c r="D889" s="1"/>
      <c r="E889" s="2"/>
      <c r="F889" s="2"/>
    </row>
    <row r="890" spans="3:6" x14ac:dyDescent="0.25">
      <c r="C890" s="1"/>
      <c r="D890" s="1"/>
      <c r="E890" s="2"/>
      <c r="F890" s="2"/>
    </row>
    <row r="891" spans="3:6" x14ac:dyDescent="0.25">
      <c r="C891" s="1"/>
      <c r="D891" s="1"/>
      <c r="E891" s="2"/>
      <c r="F891" s="2"/>
    </row>
    <row r="892" spans="3:6" x14ac:dyDescent="0.25">
      <c r="C892" s="1"/>
      <c r="D892" s="1"/>
      <c r="E892" s="2"/>
      <c r="F892" s="2"/>
    </row>
    <row r="893" spans="3:6" x14ac:dyDescent="0.25">
      <c r="C893" s="1"/>
      <c r="D893" s="1"/>
      <c r="E893" s="2"/>
      <c r="F893" s="2"/>
    </row>
    <row r="894" spans="3:6" x14ac:dyDescent="0.25">
      <c r="C894" s="1"/>
      <c r="D894" s="1"/>
      <c r="E894" s="2"/>
      <c r="F894" s="2"/>
    </row>
    <row r="895" spans="3:6" x14ac:dyDescent="0.25">
      <c r="C895" s="1"/>
      <c r="D895" s="1"/>
      <c r="E895" s="2"/>
      <c r="F895" s="2"/>
    </row>
    <row r="896" spans="3:6" x14ac:dyDescent="0.25">
      <c r="C896" s="1"/>
      <c r="D896" s="1"/>
      <c r="E896" s="2"/>
      <c r="F896" s="2"/>
    </row>
    <row r="897" spans="3:6" x14ac:dyDescent="0.25">
      <c r="C897" s="1"/>
      <c r="D897" s="1"/>
      <c r="E897" s="2"/>
      <c r="F897" s="2"/>
    </row>
    <row r="898" spans="3:6" x14ac:dyDescent="0.25">
      <c r="C898" s="1"/>
      <c r="D898" s="1"/>
      <c r="E898" s="2"/>
      <c r="F898" s="2"/>
    </row>
    <row r="899" spans="3:6" x14ac:dyDescent="0.25">
      <c r="C899" s="1"/>
      <c r="D899" s="1"/>
      <c r="E899" s="2"/>
      <c r="F899" s="2"/>
    </row>
    <row r="900" spans="3:6" x14ac:dyDescent="0.25">
      <c r="C900" s="1"/>
      <c r="D900" s="1"/>
      <c r="E900" s="2"/>
      <c r="F900" s="2"/>
    </row>
    <row r="901" spans="3:6" x14ac:dyDescent="0.25">
      <c r="C901" s="1"/>
      <c r="D901" s="1"/>
      <c r="E901" s="2"/>
      <c r="F901" s="2"/>
    </row>
    <row r="902" spans="3:6" x14ac:dyDescent="0.25">
      <c r="C902" s="1"/>
      <c r="D902" s="1"/>
      <c r="E902" s="2"/>
      <c r="F902" s="2"/>
    </row>
    <row r="903" spans="3:6" x14ac:dyDescent="0.25">
      <c r="C903" s="1"/>
      <c r="D903" s="1"/>
      <c r="E903" s="2"/>
      <c r="F903" s="2"/>
    </row>
    <row r="904" spans="3:6" x14ac:dyDescent="0.25">
      <c r="C904" s="1"/>
      <c r="D904" s="1"/>
      <c r="E904" s="2"/>
      <c r="F904" s="2"/>
    </row>
    <row r="905" spans="3:6" x14ac:dyDescent="0.25">
      <c r="C905" s="1"/>
      <c r="D905" s="1"/>
      <c r="E905" s="2"/>
      <c r="F905" s="2"/>
    </row>
    <row r="906" spans="3:6" x14ac:dyDescent="0.25">
      <c r="C906" s="1"/>
      <c r="D906" s="1"/>
      <c r="E906" s="2"/>
      <c r="F906" s="2"/>
    </row>
    <row r="907" spans="3:6" x14ac:dyDescent="0.25">
      <c r="C907" s="1"/>
      <c r="D907" s="1"/>
      <c r="E907" s="2"/>
      <c r="F907" s="2"/>
    </row>
    <row r="908" spans="3:6" x14ac:dyDescent="0.25">
      <c r="C908" s="1"/>
      <c r="D908" s="1"/>
      <c r="E908" s="2"/>
      <c r="F908" s="2"/>
    </row>
    <row r="909" spans="3:6" x14ac:dyDescent="0.25">
      <c r="C909" s="1"/>
      <c r="D909" s="1"/>
      <c r="E909" s="2"/>
      <c r="F909" s="2"/>
    </row>
    <row r="910" spans="3:6" x14ac:dyDescent="0.25">
      <c r="C910" s="1"/>
      <c r="D910" s="1"/>
      <c r="E910" s="2"/>
      <c r="F910" s="2"/>
    </row>
    <row r="911" spans="3:6" x14ac:dyDescent="0.25">
      <c r="C911" s="1"/>
      <c r="D911" s="1"/>
      <c r="E911" s="2"/>
      <c r="F911" s="2"/>
    </row>
    <row r="912" spans="3:6" x14ac:dyDescent="0.25">
      <c r="C912" s="1"/>
      <c r="D912" s="1"/>
      <c r="E912" s="2"/>
      <c r="F912" s="2"/>
    </row>
    <row r="913" spans="3:6" x14ac:dyDescent="0.25">
      <c r="C913" s="1"/>
      <c r="D913" s="1"/>
      <c r="E913" s="2"/>
      <c r="F913" s="2"/>
    </row>
    <row r="914" spans="3:6" x14ac:dyDescent="0.25">
      <c r="C914" s="1"/>
      <c r="D914" s="1"/>
      <c r="E914" s="2"/>
      <c r="F914" s="2"/>
    </row>
    <row r="915" spans="3:6" x14ac:dyDescent="0.25">
      <c r="C915" s="1"/>
      <c r="D915" s="1"/>
      <c r="E915" s="2"/>
      <c r="F915" s="2"/>
    </row>
    <row r="916" spans="3:6" x14ac:dyDescent="0.25">
      <c r="C916" s="1"/>
      <c r="D916" s="1"/>
      <c r="E916" s="2"/>
      <c r="F916" s="2"/>
    </row>
    <row r="917" spans="3:6" x14ac:dyDescent="0.25">
      <c r="C917" s="1"/>
      <c r="D917" s="1"/>
      <c r="E917" s="2"/>
      <c r="F917" s="2"/>
    </row>
    <row r="918" spans="3:6" x14ac:dyDescent="0.25">
      <c r="C918" s="1"/>
      <c r="D918" s="1"/>
      <c r="E918" s="2"/>
      <c r="F918" s="2"/>
    </row>
    <row r="919" spans="3:6" x14ac:dyDescent="0.25">
      <c r="C919" s="1"/>
      <c r="D919" s="1"/>
      <c r="E919" s="2"/>
      <c r="F919" s="2"/>
    </row>
    <row r="920" spans="3:6" x14ac:dyDescent="0.25">
      <c r="C920" s="1"/>
      <c r="D920" s="1"/>
      <c r="E920" s="2"/>
      <c r="F920" s="2"/>
    </row>
    <row r="921" spans="3:6" x14ac:dyDescent="0.25">
      <c r="C921" s="1"/>
      <c r="D921" s="1"/>
      <c r="E921" s="2"/>
      <c r="F921" s="2"/>
    </row>
    <row r="922" spans="3:6" x14ac:dyDescent="0.25">
      <c r="C922" s="1"/>
      <c r="D922" s="1"/>
      <c r="E922" s="2"/>
      <c r="F922" s="2"/>
    </row>
    <row r="923" spans="3:6" x14ac:dyDescent="0.25">
      <c r="C923" s="1"/>
      <c r="D923" s="1"/>
      <c r="E923" s="2"/>
      <c r="F923" s="2"/>
    </row>
    <row r="924" spans="3:6" x14ac:dyDescent="0.25">
      <c r="C924" s="1"/>
      <c r="D924" s="1"/>
      <c r="E924" s="2"/>
      <c r="F924" s="2"/>
    </row>
    <row r="925" spans="3:6" x14ac:dyDescent="0.25">
      <c r="C925" s="1"/>
      <c r="D925" s="1"/>
      <c r="E925" s="2"/>
      <c r="F925" s="2"/>
    </row>
    <row r="926" spans="3:6" x14ac:dyDescent="0.25">
      <c r="C926" s="1"/>
      <c r="D926" s="1"/>
      <c r="E926" s="2"/>
      <c r="F926" s="2"/>
    </row>
    <row r="927" spans="3:6" x14ac:dyDescent="0.25">
      <c r="C927" s="1"/>
      <c r="D927" s="1"/>
      <c r="E927" s="2"/>
      <c r="F927" s="2"/>
    </row>
    <row r="928" spans="3:6" x14ac:dyDescent="0.25">
      <c r="C928" s="1"/>
      <c r="D928" s="1"/>
      <c r="E928" s="2"/>
      <c r="F928" s="2"/>
    </row>
    <row r="929" spans="3:6" x14ac:dyDescent="0.25">
      <c r="C929" s="1"/>
      <c r="D929" s="1"/>
      <c r="E929" s="2"/>
      <c r="F929" s="2"/>
    </row>
    <row r="930" spans="3:6" x14ac:dyDescent="0.25">
      <c r="C930" s="1"/>
      <c r="D930" s="1"/>
      <c r="E930" s="2"/>
      <c r="F930" s="2"/>
    </row>
    <row r="931" spans="3:6" x14ac:dyDescent="0.25">
      <c r="C931" s="1"/>
      <c r="D931" s="1"/>
      <c r="E931" s="2"/>
      <c r="F931" s="2"/>
    </row>
    <row r="932" spans="3:6" x14ac:dyDescent="0.25">
      <c r="C932" s="1"/>
      <c r="D932" s="1"/>
      <c r="E932" s="2"/>
      <c r="F932" s="2"/>
    </row>
    <row r="933" spans="3:6" x14ac:dyDescent="0.25">
      <c r="C933" s="1"/>
      <c r="D933" s="1"/>
      <c r="E933" s="2"/>
      <c r="F933" s="2"/>
    </row>
    <row r="934" spans="3:6" x14ac:dyDescent="0.25">
      <c r="C934" s="1"/>
      <c r="D934" s="1"/>
      <c r="E934" s="2"/>
      <c r="F934" s="2"/>
    </row>
    <row r="935" spans="3:6" x14ac:dyDescent="0.25">
      <c r="C935" s="1"/>
      <c r="D935" s="1"/>
      <c r="E935" s="2"/>
      <c r="F935" s="2"/>
    </row>
    <row r="936" spans="3:6" x14ac:dyDescent="0.25">
      <c r="C936" s="1"/>
      <c r="D936" s="1"/>
      <c r="E936" s="2"/>
      <c r="F936" s="2"/>
    </row>
    <row r="937" spans="3:6" x14ac:dyDescent="0.25">
      <c r="C937" s="1"/>
      <c r="D937" s="1"/>
      <c r="E937" s="2"/>
      <c r="F937" s="2"/>
    </row>
    <row r="938" spans="3:6" x14ac:dyDescent="0.25">
      <c r="C938" s="1"/>
      <c r="D938" s="1"/>
      <c r="E938" s="2"/>
      <c r="F938" s="2"/>
    </row>
    <row r="939" spans="3:6" x14ac:dyDescent="0.25">
      <c r="C939" s="1"/>
      <c r="D939" s="1"/>
      <c r="E939" s="2"/>
      <c r="F939" s="2"/>
    </row>
    <row r="940" spans="3:6" x14ac:dyDescent="0.25">
      <c r="C940" s="1"/>
      <c r="D940" s="1"/>
      <c r="E940" s="2"/>
      <c r="F940" s="2"/>
    </row>
    <row r="941" spans="3:6" x14ac:dyDescent="0.25">
      <c r="C941" s="1"/>
      <c r="D941" s="1"/>
      <c r="E941" s="2"/>
      <c r="F941" s="2"/>
    </row>
    <row r="942" spans="3:6" x14ac:dyDescent="0.25">
      <c r="C942" s="1"/>
      <c r="D942" s="1"/>
      <c r="E942" s="2"/>
      <c r="F942" s="2"/>
    </row>
    <row r="943" spans="3:6" x14ac:dyDescent="0.25">
      <c r="C943" s="1"/>
      <c r="D943" s="1"/>
      <c r="E943" s="2"/>
      <c r="F943" s="2"/>
    </row>
    <row r="944" spans="3:6" x14ac:dyDescent="0.25">
      <c r="C944" s="1"/>
      <c r="D944" s="1"/>
      <c r="E944" s="2"/>
      <c r="F944" s="2"/>
    </row>
    <row r="945" spans="3:6" x14ac:dyDescent="0.25">
      <c r="C945" s="1"/>
      <c r="D945" s="1"/>
      <c r="E945" s="2"/>
      <c r="F945" s="2"/>
    </row>
    <row r="946" spans="3:6" x14ac:dyDescent="0.25">
      <c r="C946" s="1"/>
      <c r="D946" s="1"/>
      <c r="E946" s="2"/>
      <c r="F946" s="2"/>
    </row>
    <row r="947" spans="3:6" x14ac:dyDescent="0.25">
      <c r="C947" s="1"/>
      <c r="D947" s="1"/>
      <c r="E947" s="2"/>
      <c r="F947" s="2"/>
    </row>
    <row r="948" spans="3:6" x14ac:dyDescent="0.25">
      <c r="C948" s="1"/>
      <c r="D948" s="1"/>
      <c r="E948" s="2"/>
      <c r="F948" s="2"/>
    </row>
    <row r="949" spans="3:6" x14ac:dyDescent="0.25">
      <c r="C949" s="1"/>
      <c r="D949" s="1"/>
      <c r="E949" s="2"/>
      <c r="F949" s="2"/>
    </row>
    <row r="950" spans="3:6" x14ac:dyDescent="0.25">
      <c r="C950" s="1"/>
      <c r="D950" s="1"/>
      <c r="E950" s="2"/>
      <c r="F950" s="2"/>
    </row>
    <row r="951" spans="3:6" x14ac:dyDescent="0.25">
      <c r="C951" s="1"/>
      <c r="D951" s="1"/>
      <c r="E951" s="2"/>
      <c r="F951" s="2"/>
    </row>
    <row r="952" spans="3:6" x14ac:dyDescent="0.25">
      <c r="C952" s="1"/>
      <c r="D952" s="1"/>
      <c r="E952" s="2"/>
      <c r="F952" s="2"/>
    </row>
    <row r="953" spans="3:6" x14ac:dyDescent="0.25">
      <c r="C953" s="1"/>
      <c r="D953" s="1"/>
      <c r="E953" s="2"/>
      <c r="F953" s="2"/>
    </row>
    <row r="954" spans="3:6" x14ac:dyDescent="0.25">
      <c r="C954" s="1"/>
      <c r="D954" s="1"/>
      <c r="E954" s="2"/>
      <c r="F954" s="2"/>
    </row>
    <row r="955" spans="3:6" x14ac:dyDescent="0.25">
      <c r="C955" s="1"/>
      <c r="D955" s="1"/>
      <c r="E955" s="2"/>
      <c r="F955" s="2"/>
    </row>
    <row r="956" spans="3:6" x14ac:dyDescent="0.25">
      <c r="C956" s="1"/>
      <c r="D956" s="1"/>
      <c r="E956" s="2"/>
      <c r="F956" s="2"/>
    </row>
    <row r="957" spans="3:6" x14ac:dyDescent="0.25">
      <c r="C957" s="1"/>
      <c r="D957" s="1"/>
      <c r="E957" s="2"/>
      <c r="F957" s="2"/>
    </row>
    <row r="958" spans="3:6" x14ac:dyDescent="0.25">
      <c r="C958" s="1"/>
      <c r="D958" s="1"/>
      <c r="E958" s="2"/>
      <c r="F958" s="2"/>
    </row>
    <row r="959" spans="3:6" x14ac:dyDescent="0.25">
      <c r="C959" s="1"/>
      <c r="D959" s="1"/>
      <c r="E959" s="2"/>
      <c r="F959" s="2"/>
    </row>
    <row r="960" spans="3:6" x14ac:dyDescent="0.25">
      <c r="C960" s="1"/>
      <c r="D960" s="1"/>
      <c r="E960" s="2"/>
      <c r="F960" s="2"/>
    </row>
    <row r="961" spans="3:6" x14ac:dyDescent="0.25">
      <c r="C961" s="1"/>
      <c r="D961" s="1"/>
      <c r="E961" s="2"/>
      <c r="F961" s="2"/>
    </row>
    <row r="962" spans="3:6" x14ac:dyDescent="0.25">
      <c r="C962" s="1"/>
      <c r="D962" s="1"/>
      <c r="E962" s="2"/>
      <c r="F962" s="2"/>
    </row>
    <row r="963" spans="3:6" x14ac:dyDescent="0.25">
      <c r="C963" s="1"/>
      <c r="D963" s="1"/>
      <c r="E963" s="2"/>
      <c r="F963" s="2"/>
    </row>
    <row r="964" spans="3:6" x14ac:dyDescent="0.25">
      <c r="C964" s="1"/>
      <c r="D964" s="1"/>
      <c r="E964" s="2"/>
      <c r="F964" s="2"/>
    </row>
    <row r="965" spans="3:6" x14ac:dyDescent="0.25">
      <c r="C965" s="1"/>
      <c r="D965" s="1"/>
      <c r="E965" s="2"/>
      <c r="F965" s="2"/>
    </row>
    <row r="966" spans="3:6" x14ac:dyDescent="0.25">
      <c r="C966" s="1"/>
      <c r="D966" s="1"/>
      <c r="E966" s="2"/>
      <c r="F966" s="2"/>
    </row>
    <row r="967" spans="3:6" x14ac:dyDescent="0.25">
      <c r="C967" s="1"/>
      <c r="D967" s="1"/>
      <c r="E967" s="2"/>
      <c r="F967" s="2"/>
    </row>
    <row r="968" spans="3:6" x14ac:dyDescent="0.25">
      <c r="C968" s="1"/>
      <c r="D968" s="1"/>
      <c r="E968" s="2"/>
      <c r="F968" s="2"/>
    </row>
    <row r="969" spans="3:6" x14ac:dyDescent="0.25">
      <c r="C969" s="1"/>
      <c r="D969" s="1"/>
      <c r="E969" s="2"/>
      <c r="F969" s="2"/>
    </row>
    <row r="970" spans="3:6" x14ac:dyDescent="0.25">
      <c r="C970" s="1"/>
      <c r="D970" s="1"/>
      <c r="E970" s="2"/>
      <c r="F970" s="2"/>
    </row>
    <row r="971" spans="3:6" x14ac:dyDescent="0.25">
      <c r="C971" s="1"/>
      <c r="D971" s="1"/>
      <c r="E971" s="2"/>
      <c r="F971" s="2"/>
    </row>
    <row r="972" spans="3:6" x14ac:dyDescent="0.25">
      <c r="C972" s="1"/>
      <c r="D972" s="1"/>
      <c r="E972" s="2"/>
      <c r="F972" s="2"/>
    </row>
    <row r="973" spans="3:6" x14ac:dyDescent="0.25">
      <c r="C973" s="1"/>
      <c r="D973" s="1"/>
      <c r="E973" s="2"/>
      <c r="F973" s="2"/>
    </row>
    <row r="974" spans="3:6" x14ac:dyDescent="0.25">
      <c r="C974" s="1"/>
      <c r="D974" s="1"/>
      <c r="E974" s="2"/>
      <c r="F974" s="2"/>
    </row>
    <row r="975" spans="3:6" x14ac:dyDescent="0.25">
      <c r="C975" s="1"/>
      <c r="D975" s="1"/>
      <c r="E975" s="2"/>
      <c r="F975" s="2"/>
    </row>
    <row r="976" spans="3:6" x14ac:dyDescent="0.25">
      <c r="C976" s="1"/>
      <c r="D976" s="1"/>
      <c r="E976" s="2"/>
      <c r="F976" s="2"/>
    </row>
    <row r="977" spans="3:6" x14ac:dyDescent="0.25">
      <c r="C977" s="1"/>
      <c r="D977" s="1"/>
      <c r="E977" s="2"/>
      <c r="F977" s="2"/>
    </row>
    <row r="978" spans="3:6" x14ac:dyDescent="0.25">
      <c r="C978" s="1"/>
      <c r="D978" s="1"/>
      <c r="E978" s="2"/>
      <c r="F978" s="2"/>
    </row>
    <row r="979" spans="3:6" x14ac:dyDescent="0.25">
      <c r="C979" s="1"/>
      <c r="D979" s="1"/>
      <c r="E979" s="2"/>
      <c r="F979" s="2"/>
    </row>
    <row r="980" spans="3:6" x14ac:dyDescent="0.25">
      <c r="C980" s="1"/>
      <c r="D980" s="1"/>
      <c r="E980" s="2"/>
      <c r="F980" s="2"/>
    </row>
    <row r="981" spans="3:6" x14ac:dyDescent="0.25">
      <c r="C981" s="1"/>
      <c r="D981" s="1"/>
      <c r="E981" s="2"/>
      <c r="F981" s="2"/>
    </row>
    <row r="982" spans="3:6" x14ac:dyDescent="0.25">
      <c r="C982" s="1"/>
      <c r="D982" s="1"/>
      <c r="E982" s="2"/>
      <c r="F982" s="2"/>
    </row>
    <row r="983" spans="3:6" x14ac:dyDescent="0.25">
      <c r="C983" s="1"/>
      <c r="D983" s="1"/>
      <c r="E983" s="2"/>
      <c r="F983" s="2"/>
    </row>
    <row r="984" spans="3:6" x14ac:dyDescent="0.25">
      <c r="C984" s="1"/>
      <c r="D984" s="1"/>
      <c r="E984" s="2"/>
      <c r="F984" s="2"/>
    </row>
    <row r="985" spans="3:6" x14ac:dyDescent="0.25">
      <c r="C985" s="1"/>
      <c r="D985" s="1"/>
      <c r="E985" s="2"/>
      <c r="F985" s="2"/>
    </row>
    <row r="986" spans="3:6" x14ac:dyDescent="0.25">
      <c r="C986" s="1"/>
      <c r="D986" s="1"/>
      <c r="E986" s="2"/>
      <c r="F986" s="2"/>
    </row>
    <row r="987" spans="3:6" x14ac:dyDescent="0.25">
      <c r="C987" s="1"/>
      <c r="D987" s="1"/>
      <c r="E987" s="2"/>
      <c r="F987" s="2"/>
    </row>
    <row r="988" spans="3:6" x14ac:dyDescent="0.25">
      <c r="C988" s="1"/>
      <c r="D988" s="1"/>
      <c r="E988" s="2"/>
      <c r="F988" s="2"/>
    </row>
    <row r="989" spans="3:6" x14ac:dyDescent="0.25">
      <c r="C989" s="1"/>
      <c r="D989" s="1"/>
      <c r="E989" s="2"/>
      <c r="F989" s="2"/>
    </row>
    <row r="990" spans="3:6" x14ac:dyDescent="0.25">
      <c r="C990" s="1"/>
      <c r="D990" s="1"/>
      <c r="E990" s="2"/>
      <c r="F990" s="2"/>
    </row>
    <row r="991" spans="3:6" x14ac:dyDescent="0.25">
      <c r="C991" s="1"/>
      <c r="D991" s="1"/>
      <c r="E991" s="2"/>
      <c r="F991" s="2"/>
    </row>
    <row r="992" spans="3:6" x14ac:dyDescent="0.25">
      <c r="C992" s="1"/>
      <c r="D992" s="1"/>
      <c r="E992" s="2"/>
      <c r="F992" s="2"/>
    </row>
    <row r="993" spans="3:6" x14ac:dyDescent="0.25">
      <c r="C993" s="1"/>
      <c r="D993" s="1"/>
      <c r="E993" s="2"/>
      <c r="F993" s="2"/>
    </row>
    <row r="994" spans="3:6" x14ac:dyDescent="0.25">
      <c r="C994" s="1"/>
      <c r="D994" s="1"/>
      <c r="E994" s="2"/>
      <c r="F994" s="2"/>
    </row>
    <row r="995" spans="3:6" x14ac:dyDescent="0.25">
      <c r="C995" s="1"/>
      <c r="D995" s="1"/>
      <c r="E995" s="2"/>
      <c r="F995" s="2"/>
    </row>
    <row r="996" spans="3:6" x14ac:dyDescent="0.25">
      <c r="C996" s="1"/>
      <c r="D996" s="1"/>
      <c r="E996" s="2"/>
      <c r="F996" s="2"/>
    </row>
    <row r="997" spans="3:6" x14ac:dyDescent="0.25">
      <c r="C997" s="1"/>
      <c r="D997" s="1"/>
      <c r="E997" s="2"/>
      <c r="F997" s="2"/>
    </row>
    <row r="998" spans="3:6" x14ac:dyDescent="0.25">
      <c r="C998" s="1"/>
      <c r="D998" s="1"/>
      <c r="E998" s="2"/>
      <c r="F998" s="2"/>
    </row>
    <row r="999" spans="3:6" x14ac:dyDescent="0.25">
      <c r="C999" s="1"/>
      <c r="D999" s="1"/>
      <c r="E999" s="2"/>
      <c r="F999" s="2"/>
    </row>
    <row r="1000" spans="3:6" x14ac:dyDescent="0.25">
      <c r="C1000" s="1"/>
      <c r="D1000" s="1"/>
      <c r="E1000" s="2"/>
      <c r="F1000" s="2"/>
    </row>
    <row r="1001" spans="3:6" x14ac:dyDescent="0.25">
      <c r="C1001" s="1"/>
      <c r="D1001" s="1"/>
      <c r="E1001" s="2"/>
      <c r="F1001" s="2"/>
    </row>
    <row r="1002" spans="3:6" x14ac:dyDescent="0.25">
      <c r="C1002" s="1"/>
      <c r="D1002" s="1"/>
      <c r="E1002" s="2"/>
      <c r="F1002" s="2"/>
    </row>
    <row r="1003" spans="3:6" x14ac:dyDescent="0.25">
      <c r="C1003" s="1"/>
      <c r="D1003" s="1"/>
      <c r="E1003" s="2"/>
      <c r="F1003" s="2"/>
    </row>
    <row r="1004" spans="3:6" x14ac:dyDescent="0.25">
      <c r="C1004" s="1"/>
      <c r="D1004" s="1"/>
      <c r="E1004" s="2"/>
      <c r="F1004" s="2"/>
    </row>
    <row r="1005" spans="3:6" x14ac:dyDescent="0.25">
      <c r="C1005" s="1"/>
      <c r="D1005" s="1"/>
      <c r="E1005" s="2"/>
      <c r="F1005" s="2"/>
    </row>
    <row r="1006" spans="3:6" x14ac:dyDescent="0.25">
      <c r="C1006" s="1"/>
      <c r="D1006" s="1"/>
      <c r="E1006" s="2"/>
      <c r="F1006" s="2"/>
    </row>
    <row r="1007" spans="3:6" x14ac:dyDescent="0.25">
      <c r="C1007" s="1"/>
      <c r="D1007" s="1"/>
      <c r="E1007" s="2"/>
      <c r="F1007" s="2"/>
    </row>
    <row r="1008" spans="3:6" x14ac:dyDescent="0.25">
      <c r="C1008" s="1"/>
      <c r="D1008" s="1"/>
      <c r="E1008" s="2"/>
      <c r="F1008" s="2"/>
    </row>
    <row r="1009" spans="3:6" x14ac:dyDescent="0.25">
      <c r="C1009" s="1"/>
      <c r="D1009" s="1"/>
      <c r="E1009" s="2"/>
      <c r="F1009" s="2"/>
    </row>
    <row r="1010" spans="3:6" x14ac:dyDescent="0.25">
      <c r="C1010" s="1"/>
      <c r="D1010" s="1"/>
      <c r="E1010" s="2"/>
      <c r="F1010" s="2"/>
    </row>
    <row r="1011" spans="3:6" x14ac:dyDescent="0.25">
      <c r="C1011" s="1"/>
      <c r="D1011" s="1"/>
      <c r="E1011" s="2"/>
      <c r="F1011" s="2"/>
    </row>
    <row r="1012" spans="3:6" x14ac:dyDescent="0.25">
      <c r="C1012" s="1"/>
      <c r="D1012" s="1"/>
      <c r="E1012" s="2"/>
      <c r="F1012" s="2"/>
    </row>
    <row r="1013" spans="3:6" x14ac:dyDescent="0.25">
      <c r="C1013" s="1"/>
      <c r="D1013" s="1"/>
      <c r="E1013" s="2"/>
      <c r="F1013" s="2"/>
    </row>
    <row r="1014" spans="3:6" x14ac:dyDescent="0.25">
      <c r="C1014" s="1"/>
      <c r="D1014" s="1"/>
      <c r="E1014" s="2"/>
      <c r="F1014" s="2"/>
    </row>
    <row r="1015" spans="3:6" x14ac:dyDescent="0.25">
      <c r="C1015" s="1"/>
      <c r="D1015" s="1"/>
      <c r="E1015" s="2"/>
      <c r="F1015" s="2"/>
    </row>
    <row r="1016" spans="3:6" x14ac:dyDescent="0.25">
      <c r="C1016" s="1"/>
      <c r="D1016" s="1"/>
      <c r="E1016" s="2"/>
      <c r="F1016" s="2"/>
    </row>
    <row r="1017" spans="3:6" x14ac:dyDescent="0.25">
      <c r="C1017" s="1"/>
      <c r="D1017" s="1"/>
      <c r="E1017" s="2"/>
      <c r="F1017" s="2"/>
    </row>
    <row r="1018" spans="3:6" x14ac:dyDescent="0.25">
      <c r="C1018" s="1"/>
      <c r="D1018" s="1"/>
      <c r="E1018" s="2"/>
      <c r="F1018" s="2"/>
    </row>
    <row r="1019" spans="3:6" x14ac:dyDescent="0.25">
      <c r="C1019" s="1"/>
      <c r="D1019" s="1"/>
      <c r="E1019" s="2"/>
      <c r="F1019" s="2"/>
    </row>
    <row r="1020" spans="3:6" x14ac:dyDescent="0.25">
      <c r="C1020" s="1"/>
      <c r="D1020" s="1"/>
      <c r="E1020" s="2"/>
      <c r="F1020" s="2"/>
    </row>
    <row r="1021" spans="3:6" x14ac:dyDescent="0.25">
      <c r="C1021" s="1"/>
      <c r="D1021" s="1"/>
      <c r="E1021" s="2"/>
      <c r="F1021" s="2"/>
    </row>
    <row r="1022" spans="3:6" x14ac:dyDescent="0.25">
      <c r="C1022" s="1"/>
      <c r="D1022" s="1"/>
      <c r="E1022" s="2"/>
      <c r="F1022" s="2"/>
    </row>
    <row r="1023" spans="3:6" x14ac:dyDescent="0.25">
      <c r="C1023" s="1"/>
      <c r="D1023" s="1"/>
      <c r="E1023" s="2"/>
      <c r="F1023" s="2"/>
    </row>
    <row r="1024" spans="3:6" x14ac:dyDescent="0.25">
      <c r="C1024" s="1"/>
      <c r="D1024" s="1"/>
      <c r="E1024" s="2"/>
      <c r="F1024" s="2"/>
    </row>
    <row r="1025" spans="3:6" x14ac:dyDescent="0.25">
      <c r="C1025" s="1"/>
      <c r="D1025" s="1"/>
      <c r="E1025" s="2"/>
      <c r="F1025" s="2"/>
    </row>
    <row r="1026" spans="3:6" x14ac:dyDescent="0.25">
      <c r="C1026" s="1"/>
      <c r="D1026" s="1"/>
      <c r="E1026" s="2"/>
      <c r="F1026" s="2"/>
    </row>
    <row r="1027" spans="3:6" x14ac:dyDescent="0.25">
      <c r="C1027" s="1"/>
      <c r="D1027" s="1"/>
      <c r="E1027" s="2"/>
      <c r="F1027" s="2"/>
    </row>
    <row r="1028" spans="3:6" x14ac:dyDescent="0.25">
      <c r="C1028" s="1"/>
      <c r="D1028" s="1"/>
      <c r="E1028" s="2"/>
      <c r="F1028" s="2"/>
    </row>
    <row r="1029" spans="3:6" x14ac:dyDescent="0.25">
      <c r="C1029" s="1"/>
      <c r="D1029" s="1"/>
      <c r="E1029" s="2"/>
      <c r="F1029" s="2"/>
    </row>
    <row r="1030" spans="3:6" x14ac:dyDescent="0.25">
      <c r="C1030" s="1"/>
      <c r="D1030" s="1"/>
      <c r="E1030" s="2"/>
      <c r="F1030" s="2"/>
    </row>
    <row r="1031" spans="3:6" x14ac:dyDescent="0.25">
      <c r="C1031" s="1"/>
      <c r="D1031" s="1"/>
      <c r="E1031" s="2"/>
      <c r="F1031" s="2"/>
    </row>
    <row r="1032" spans="3:6" x14ac:dyDescent="0.25">
      <c r="C1032" s="1"/>
      <c r="D1032" s="1"/>
      <c r="E1032" s="2"/>
      <c r="F1032" s="2"/>
    </row>
    <row r="1033" spans="3:6" x14ac:dyDescent="0.25">
      <c r="C1033" s="1"/>
      <c r="D1033" s="1"/>
      <c r="E1033" s="2"/>
      <c r="F1033" s="2"/>
    </row>
    <row r="1034" spans="3:6" x14ac:dyDescent="0.25">
      <c r="C1034" s="1"/>
      <c r="D1034" s="1"/>
      <c r="E1034" s="2"/>
      <c r="F1034" s="2"/>
    </row>
    <row r="1035" spans="3:6" x14ac:dyDescent="0.25">
      <c r="C1035" s="1"/>
      <c r="D1035" s="1"/>
      <c r="E1035" s="2"/>
      <c r="F1035" s="2"/>
    </row>
    <row r="1036" spans="3:6" x14ac:dyDescent="0.25">
      <c r="C1036" s="1"/>
      <c r="D1036" s="1"/>
      <c r="E1036" s="2"/>
      <c r="F1036" s="2"/>
    </row>
    <row r="1037" spans="3:6" x14ac:dyDescent="0.25">
      <c r="C1037" s="1"/>
      <c r="D1037" s="1"/>
      <c r="E1037" s="2"/>
      <c r="F1037" s="2"/>
    </row>
    <row r="1038" spans="3:6" x14ac:dyDescent="0.25">
      <c r="C1038" s="1"/>
      <c r="D1038" s="1"/>
      <c r="E1038" s="2"/>
      <c r="F1038" s="2"/>
    </row>
    <row r="1039" spans="3:6" x14ac:dyDescent="0.25">
      <c r="C1039" s="1"/>
      <c r="D1039" s="1"/>
      <c r="E1039" s="2"/>
      <c r="F1039" s="2"/>
    </row>
    <row r="1040" spans="3:6" x14ac:dyDescent="0.25">
      <c r="C1040" s="1"/>
      <c r="D1040" s="1"/>
      <c r="E1040" s="2"/>
      <c r="F1040" s="2"/>
    </row>
    <row r="1041" spans="3:6" x14ac:dyDescent="0.25">
      <c r="C1041" s="1"/>
      <c r="D1041" s="1"/>
      <c r="E1041" s="2"/>
      <c r="F1041" s="2"/>
    </row>
    <row r="1042" spans="3:6" x14ac:dyDescent="0.25">
      <c r="C1042" s="1"/>
      <c r="D1042" s="1"/>
      <c r="E1042" s="2"/>
      <c r="F1042" s="2"/>
    </row>
    <row r="1043" spans="3:6" x14ac:dyDescent="0.25">
      <c r="C1043" s="1"/>
      <c r="D1043" s="1"/>
      <c r="E1043" s="2"/>
      <c r="F1043" s="2"/>
    </row>
    <row r="1044" spans="3:6" x14ac:dyDescent="0.25">
      <c r="C1044" s="1"/>
      <c r="D1044" s="1"/>
      <c r="E1044" s="2"/>
      <c r="F1044" s="2"/>
    </row>
    <row r="1045" spans="3:6" x14ac:dyDescent="0.25">
      <c r="C1045" s="1"/>
      <c r="D1045" s="1"/>
      <c r="E1045" s="2"/>
      <c r="F1045" s="2"/>
    </row>
    <row r="1046" spans="3:6" x14ac:dyDescent="0.25">
      <c r="C1046" s="1"/>
      <c r="D1046" s="1"/>
      <c r="E1046" s="2"/>
      <c r="F1046" s="2"/>
    </row>
    <row r="1047" spans="3:6" x14ac:dyDescent="0.25">
      <c r="C1047" s="1"/>
      <c r="D1047" s="1"/>
      <c r="E1047" s="2"/>
      <c r="F1047" s="2"/>
    </row>
    <row r="1048" spans="3:6" x14ac:dyDescent="0.25">
      <c r="C1048" s="1"/>
      <c r="D1048" s="1"/>
      <c r="E1048" s="2"/>
      <c r="F1048" s="2"/>
    </row>
    <row r="1049" spans="3:6" x14ac:dyDescent="0.25">
      <c r="C1049" s="1"/>
      <c r="D1049" s="1"/>
      <c r="E1049" s="2"/>
      <c r="F1049" s="2"/>
    </row>
    <row r="1050" spans="3:6" x14ac:dyDescent="0.25">
      <c r="C1050" s="1"/>
      <c r="D1050" s="1"/>
      <c r="E1050" s="2"/>
      <c r="F1050" s="2"/>
    </row>
    <row r="1051" spans="3:6" x14ac:dyDescent="0.25">
      <c r="C1051" s="1"/>
      <c r="D1051" s="1"/>
      <c r="E1051" s="2"/>
      <c r="F1051" s="2"/>
    </row>
    <row r="1052" spans="3:6" x14ac:dyDescent="0.25">
      <c r="C1052" s="1"/>
      <c r="D1052" s="1"/>
      <c r="E1052" s="2"/>
      <c r="F1052" s="2"/>
    </row>
    <row r="1053" spans="3:6" x14ac:dyDescent="0.25">
      <c r="C1053" s="1"/>
      <c r="D1053" s="1"/>
      <c r="E1053" s="2"/>
      <c r="F1053" s="2"/>
    </row>
    <row r="1054" spans="3:6" x14ac:dyDescent="0.25">
      <c r="C1054" s="1"/>
      <c r="D1054" s="1"/>
      <c r="E1054" s="2"/>
      <c r="F1054" s="2"/>
    </row>
    <row r="1055" spans="3:6" x14ac:dyDescent="0.25">
      <c r="C1055" s="1"/>
      <c r="D1055" s="1"/>
      <c r="E1055" s="2"/>
      <c r="F1055" s="2"/>
    </row>
    <row r="1056" spans="3:6" x14ac:dyDescent="0.25">
      <c r="C1056" s="1"/>
      <c r="D1056" s="1"/>
      <c r="E1056" s="2"/>
      <c r="F1056" s="2"/>
    </row>
    <row r="1057" spans="3:6" x14ac:dyDescent="0.25">
      <c r="C1057" s="1"/>
      <c r="D1057" s="1"/>
      <c r="E1057" s="2"/>
      <c r="F1057" s="2"/>
    </row>
    <row r="1058" spans="3:6" x14ac:dyDescent="0.25">
      <c r="C1058" s="1"/>
      <c r="D1058" s="1"/>
      <c r="E1058" s="2"/>
      <c r="F1058" s="2"/>
    </row>
    <row r="1059" spans="3:6" x14ac:dyDescent="0.25">
      <c r="C1059" s="1"/>
      <c r="D1059" s="1"/>
      <c r="E1059" s="2"/>
      <c r="F1059" s="2"/>
    </row>
    <row r="1060" spans="3:6" x14ac:dyDescent="0.25">
      <c r="C1060" s="1"/>
      <c r="D1060" s="1"/>
      <c r="E1060" s="2"/>
      <c r="F1060" s="2"/>
    </row>
    <row r="1061" spans="3:6" x14ac:dyDescent="0.25">
      <c r="C1061" s="1"/>
      <c r="D1061" s="1"/>
      <c r="E1061" s="2"/>
      <c r="F1061" s="2"/>
    </row>
    <row r="1062" spans="3:6" x14ac:dyDescent="0.25">
      <c r="C1062" s="1"/>
      <c r="D1062" s="1"/>
      <c r="E1062" s="2"/>
      <c r="F1062" s="2"/>
    </row>
    <row r="1063" spans="3:6" x14ac:dyDescent="0.25">
      <c r="C1063" s="1"/>
      <c r="D1063" s="1"/>
      <c r="E1063" s="2"/>
      <c r="F1063" s="2"/>
    </row>
    <row r="1064" spans="3:6" x14ac:dyDescent="0.25">
      <c r="C1064" s="1"/>
      <c r="D1064" s="1"/>
      <c r="E1064" s="2"/>
      <c r="F1064" s="2"/>
    </row>
    <row r="1065" spans="3:6" x14ac:dyDescent="0.25">
      <c r="C1065" s="1"/>
      <c r="D1065" s="1"/>
      <c r="E1065" s="2"/>
      <c r="F1065" s="2"/>
    </row>
    <row r="1066" spans="3:6" x14ac:dyDescent="0.25">
      <c r="C1066" s="1"/>
      <c r="D1066" s="1"/>
      <c r="E1066" s="2"/>
      <c r="F1066" s="2"/>
    </row>
    <row r="1067" spans="3:6" x14ac:dyDescent="0.25">
      <c r="C1067" s="1"/>
      <c r="D1067" s="1"/>
      <c r="E1067" s="2"/>
      <c r="F1067" s="2"/>
    </row>
    <row r="1068" spans="3:6" x14ac:dyDescent="0.25">
      <c r="C1068" s="1"/>
      <c r="D1068" s="1"/>
      <c r="E1068" s="2"/>
      <c r="F1068" s="2"/>
    </row>
    <row r="1069" spans="3:6" x14ac:dyDescent="0.25">
      <c r="C1069" s="1"/>
      <c r="D1069" s="1"/>
      <c r="E1069" s="2"/>
      <c r="F1069" s="2"/>
    </row>
    <row r="1070" spans="3:6" x14ac:dyDescent="0.25">
      <c r="C1070" s="1"/>
      <c r="D1070" s="1"/>
      <c r="E1070" s="2"/>
      <c r="F1070" s="2"/>
    </row>
    <row r="1071" spans="3:6" x14ac:dyDescent="0.25">
      <c r="C1071" s="1"/>
      <c r="D1071" s="1"/>
      <c r="E1071" s="2"/>
      <c r="F1071" s="2"/>
    </row>
    <row r="1072" spans="3:6" x14ac:dyDescent="0.25">
      <c r="C1072" s="1"/>
      <c r="D1072" s="1"/>
      <c r="E1072" s="2"/>
      <c r="F1072" s="2"/>
    </row>
    <row r="1073" spans="3:6" x14ac:dyDescent="0.25">
      <c r="C1073" s="1"/>
      <c r="D1073" s="1"/>
      <c r="E1073" s="2"/>
      <c r="F1073" s="2"/>
    </row>
    <row r="1074" spans="3:6" x14ac:dyDescent="0.25">
      <c r="C1074" s="1"/>
      <c r="D1074" s="1"/>
      <c r="E1074" s="2"/>
      <c r="F1074" s="2"/>
    </row>
    <row r="1075" spans="3:6" x14ac:dyDescent="0.25">
      <c r="C1075" s="1"/>
      <c r="D1075" s="1"/>
      <c r="E1075" s="2"/>
      <c r="F1075" s="2"/>
    </row>
    <row r="1076" spans="3:6" x14ac:dyDescent="0.25">
      <c r="C1076" s="1"/>
      <c r="D1076" s="1"/>
      <c r="E1076" s="2"/>
      <c r="F1076" s="2"/>
    </row>
    <row r="1077" spans="3:6" x14ac:dyDescent="0.25">
      <c r="C1077" s="1"/>
      <c r="D1077" s="1"/>
      <c r="E1077" s="2"/>
      <c r="F1077" s="2"/>
    </row>
    <row r="1078" spans="3:6" x14ac:dyDescent="0.25">
      <c r="C1078" s="1"/>
      <c r="D1078" s="1"/>
      <c r="E1078" s="2"/>
      <c r="F1078" s="2"/>
    </row>
    <row r="1079" spans="3:6" x14ac:dyDescent="0.25">
      <c r="C1079" s="1"/>
      <c r="D1079" s="1"/>
      <c r="E1079" s="2"/>
      <c r="F1079" s="2"/>
    </row>
    <row r="1080" spans="3:6" x14ac:dyDescent="0.25">
      <c r="C1080" s="1"/>
      <c r="D1080" s="1"/>
      <c r="E1080" s="2"/>
      <c r="F1080" s="2"/>
    </row>
    <row r="1081" spans="3:6" x14ac:dyDescent="0.25">
      <c r="C1081" s="1"/>
      <c r="D1081" s="1"/>
      <c r="E1081" s="2"/>
      <c r="F1081" s="2"/>
    </row>
    <row r="1082" spans="3:6" x14ac:dyDescent="0.25">
      <c r="C1082" s="1"/>
      <c r="D1082" s="1"/>
      <c r="E1082" s="2"/>
      <c r="F1082" s="2"/>
    </row>
    <row r="1083" spans="3:6" x14ac:dyDescent="0.25">
      <c r="C1083" s="1"/>
      <c r="D1083" s="1"/>
      <c r="E1083" s="2"/>
      <c r="F1083" s="2"/>
    </row>
    <row r="1084" spans="3:6" x14ac:dyDescent="0.25">
      <c r="C1084" s="1"/>
      <c r="D1084" s="1"/>
      <c r="E1084" s="2"/>
      <c r="F1084" s="2"/>
    </row>
    <row r="1085" spans="3:6" x14ac:dyDescent="0.25">
      <c r="C1085" s="1"/>
      <c r="D1085" s="1"/>
      <c r="E1085" s="2"/>
      <c r="F1085" s="2"/>
    </row>
    <row r="1086" spans="3:6" x14ac:dyDescent="0.25">
      <c r="C1086" s="1"/>
      <c r="D1086" s="1"/>
      <c r="E1086" s="2"/>
      <c r="F1086" s="2"/>
    </row>
    <row r="1087" spans="3:6" x14ac:dyDescent="0.25">
      <c r="C1087" s="1"/>
      <c r="D1087" s="1"/>
      <c r="E1087" s="2"/>
      <c r="F1087" s="2"/>
    </row>
    <row r="1088" spans="3:6" x14ac:dyDescent="0.25">
      <c r="C1088" s="1"/>
      <c r="D1088" s="1"/>
      <c r="E1088" s="2"/>
      <c r="F1088" s="2"/>
    </row>
    <row r="1089" spans="3:6" x14ac:dyDescent="0.25">
      <c r="C1089" s="1"/>
      <c r="D1089" s="1"/>
      <c r="E1089" s="2"/>
      <c r="F1089" s="2"/>
    </row>
    <row r="1090" spans="3:6" x14ac:dyDescent="0.25">
      <c r="C1090" s="1"/>
      <c r="D1090" s="1"/>
      <c r="E1090" s="2"/>
      <c r="F1090" s="2"/>
    </row>
    <row r="1091" spans="3:6" x14ac:dyDescent="0.25">
      <c r="C1091" s="1"/>
      <c r="D1091" s="1"/>
      <c r="E1091" s="2"/>
      <c r="F1091" s="2"/>
    </row>
    <row r="1092" spans="3:6" x14ac:dyDescent="0.25">
      <c r="C1092" s="1"/>
      <c r="D1092" s="1"/>
      <c r="E1092" s="2"/>
      <c r="F1092" s="2"/>
    </row>
    <row r="1093" spans="3:6" x14ac:dyDescent="0.25">
      <c r="C1093" s="1"/>
      <c r="D1093" s="1"/>
      <c r="E1093" s="2"/>
      <c r="F1093" s="2"/>
    </row>
    <row r="1094" spans="3:6" x14ac:dyDescent="0.25">
      <c r="C1094" s="1"/>
      <c r="D1094" s="1"/>
      <c r="E1094" s="2"/>
      <c r="F1094" s="2"/>
    </row>
    <row r="1095" spans="3:6" x14ac:dyDescent="0.25">
      <c r="C1095" s="1"/>
      <c r="D1095" s="1"/>
      <c r="E1095" s="2"/>
      <c r="F1095" s="2"/>
    </row>
    <row r="1096" spans="3:6" x14ac:dyDescent="0.25">
      <c r="C1096" s="1"/>
      <c r="D1096" s="1"/>
      <c r="E1096" s="2"/>
      <c r="F1096" s="2"/>
    </row>
    <row r="1097" spans="3:6" x14ac:dyDescent="0.25">
      <c r="C1097" s="1"/>
      <c r="D1097" s="1"/>
      <c r="E1097" s="2"/>
      <c r="F1097" s="2"/>
    </row>
    <row r="1098" spans="3:6" x14ac:dyDescent="0.25">
      <c r="C1098" s="1"/>
      <c r="D1098" s="1"/>
      <c r="E1098" s="2"/>
      <c r="F1098" s="2"/>
    </row>
    <row r="1099" spans="3:6" x14ac:dyDescent="0.25">
      <c r="C1099" s="1"/>
      <c r="D1099" s="1"/>
      <c r="E1099" s="2"/>
      <c r="F1099" s="2"/>
    </row>
    <row r="1100" spans="3:6" x14ac:dyDescent="0.25">
      <c r="C1100" s="1"/>
      <c r="D1100" s="1"/>
      <c r="E1100" s="2"/>
      <c r="F1100" s="2"/>
    </row>
    <row r="1101" spans="3:6" x14ac:dyDescent="0.25">
      <c r="C1101" s="1"/>
      <c r="D1101" s="1"/>
      <c r="E1101" s="2"/>
      <c r="F1101" s="2"/>
    </row>
    <row r="1102" spans="3:6" x14ac:dyDescent="0.25">
      <c r="C1102" s="1"/>
      <c r="D1102" s="1"/>
      <c r="E1102" s="2"/>
      <c r="F1102" s="2"/>
    </row>
    <row r="1103" spans="3:6" x14ac:dyDescent="0.25">
      <c r="C1103" s="1"/>
      <c r="D1103" s="1"/>
      <c r="E1103" s="2"/>
      <c r="F1103" s="2"/>
    </row>
    <row r="1104" spans="3:6" x14ac:dyDescent="0.25">
      <c r="C1104" s="1"/>
      <c r="D1104" s="1"/>
      <c r="E1104" s="2"/>
      <c r="F1104" s="2"/>
    </row>
    <row r="1105" spans="3:6" x14ac:dyDescent="0.25">
      <c r="C1105" s="1"/>
      <c r="D1105" s="1"/>
      <c r="E1105" s="2"/>
      <c r="F1105" s="2"/>
    </row>
    <row r="1106" spans="3:6" x14ac:dyDescent="0.25">
      <c r="C1106" s="1"/>
      <c r="D1106" s="1"/>
      <c r="E1106" s="2"/>
      <c r="F1106" s="2"/>
    </row>
    <row r="1107" spans="3:6" x14ac:dyDescent="0.25">
      <c r="C1107" s="1"/>
      <c r="D1107" s="1"/>
      <c r="E1107" s="2"/>
      <c r="F1107" s="2"/>
    </row>
    <row r="1108" spans="3:6" x14ac:dyDescent="0.25">
      <c r="C1108" s="1"/>
      <c r="D1108" s="1"/>
      <c r="E1108" s="2"/>
      <c r="F1108" s="2"/>
    </row>
    <row r="1109" spans="3:6" x14ac:dyDescent="0.25">
      <c r="C1109" s="1"/>
      <c r="D1109" s="1"/>
      <c r="E1109" s="2"/>
      <c r="F1109" s="2"/>
    </row>
    <row r="1110" spans="3:6" x14ac:dyDescent="0.25">
      <c r="C1110" s="1"/>
      <c r="D1110" s="1"/>
      <c r="E1110" s="2"/>
      <c r="F1110" s="2"/>
    </row>
    <row r="1111" spans="3:6" x14ac:dyDescent="0.25">
      <c r="C1111" s="1"/>
      <c r="D1111" s="1"/>
      <c r="E1111" s="2"/>
      <c r="F1111" s="2"/>
    </row>
    <row r="1112" spans="3:6" x14ac:dyDescent="0.25">
      <c r="C1112" s="1"/>
      <c r="D1112" s="1"/>
      <c r="E1112" s="2"/>
      <c r="F1112" s="2"/>
    </row>
    <row r="1113" spans="3:6" x14ac:dyDescent="0.25">
      <c r="C1113" s="1"/>
      <c r="D1113" s="1"/>
      <c r="E1113" s="2"/>
      <c r="F1113" s="2"/>
    </row>
    <row r="1114" spans="3:6" x14ac:dyDescent="0.25">
      <c r="C1114" s="1"/>
      <c r="D1114" s="1"/>
      <c r="E1114" s="2"/>
      <c r="F1114" s="2"/>
    </row>
    <row r="1115" spans="3:6" x14ac:dyDescent="0.25">
      <c r="C1115" s="1"/>
      <c r="D1115" s="1"/>
      <c r="E1115" s="2"/>
      <c r="F1115" s="2"/>
    </row>
    <row r="1116" spans="3:6" x14ac:dyDescent="0.25">
      <c r="C1116" s="1"/>
      <c r="D1116" s="1"/>
      <c r="E1116" s="2"/>
      <c r="F1116" s="2"/>
    </row>
    <row r="1117" spans="3:6" x14ac:dyDescent="0.25">
      <c r="C1117" s="1"/>
      <c r="D1117" s="1"/>
      <c r="E1117" s="2"/>
      <c r="F1117" s="2"/>
    </row>
    <row r="1118" spans="3:6" x14ac:dyDescent="0.25">
      <c r="C1118" s="1"/>
      <c r="D1118" s="1"/>
      <c r="E1118" s="2"/>
      <c r="F1118" s="2"/>
    </row>
    <row r="1119" spans="3:6" x14ac:dyDescent="0.25">
      <c r="C1119" s="1"/>
      <c r="D1119" s="1"/>
      <c r="E1119" s="2"/>
      <c r="F1119" s="2"/>
    </row>
    <row r="1120" spans="3:6" x14ac:dyDescent="0.25">
      <c r="C1120" s="1"/>
      <c r="D1120" s="1"/>
      <c r="E1120" s="2"/>
      <c r="F1120" s="2"/>
    </row>
    <row r="1121" spans="3:6" x14ac:dyDescent="0.25">
      <c r="C1121" s="1"/>
      <c r="D1121" s="1"/>
      <c r="E1121" s="2"/>
      <c r="F1121" s="2"/>
    </row>
    <row r="1122" spans="3:6" x14ac:dyDescent="0.25">
      <c r="C1122" s="1"/>
      <c r="D1122" s="1"/>
      <c r="E1122" s="2"/>
      <c r="F1122" s="2"/>
    </row>
    <row r="1123" spans="3:6" x14ac:dyDescent="0.25">
      <c r="C1123" s="1"/>
      <c r="D1123" s="1"/>
      <c r="E1123" s="2"/>
      <c r="F1123" s="2"/>
    </row>
    <row r="1124" spans="3:6" x14ac:dyDescent="0.25">
      <c r="C1124" s="1"/>
      <c r="D1124" s="1"/>
      <c r="E1124" s="2"/>
      <c r="F1124" s="2"/>
    </row>
    <row r="1125" spans="3:6" x14ac:dyDescent="0.25">
      <c r="C1125" s="1"/>
      <c r="D1125" s="1"/>
      <c r="E1125" s="2"/>
      <c r="F1125" s="2"/>
    </row>
    <row r="1126" spans="3:6" x14ac:dyDescent="0.25">
      <c r="C1126" s="1"/>
      <c r="D1126" s="1"/>
      <c r="E1126" s="2"/>
      <c r="F1126" s="2"/>
    </row>
    <row r="1127" spans="3:6" x14ac:dyDescent="0.25">
      <c r="C1127" s="1"/>
      <c r="D1127" s="1"/>
      <c r="E1127" s="2"/>
      <c r="F1127" s="2"/>
    </row>
    <row r="1128" spans="3:6" x14ac:dyDescent="0.25">
      <c r="C1128" s="1"/>
      <c r="D1128" s="1"/>
      <c r="E1128" s="2"/>
      <c r="F1128" s="2"/>
    </row>
    <row r="1129" spans="3:6" x14ac:dyDescent="0.25">
      <c r="C1129" s="1"/>
      <c r="D1129" s="1"/>
      <c r="E1129" s="2"/>
      <c r="F1129" s="2"/>
    </row>
    <row r="1130" spans="3:6" x14ac:dyDescent="0.25">
      <c r="C1130" s="1"/>
      <c r="D1130" s="1"/>
      <c r="E1130" s="2"/>
      <c r="F1130" s="2"/>
    </row>
    <row r="1131" spans="3:6" x14ac:dyDescent="0.25">
      <c r="C1131" s="1"/>
      <c r="D1131" s="1"/>
      <c r="E1131" s="2"/>
      <c r="F1131" s="2"/>
    </row>
    <row r="1132" spans="3:6" x14ac:dyDescent="0.25">
      <c r="C1132" s="1"/>
      <c r="D1132" s="1"/>
      <c r="E1132" s="2"/>
      <c r="F1132" s="2"/>
    </row>
    <row r="1133" spans="3:6" x14ac:dyDescent="0.25">
      <c r="C1133" s="1"/>
      <c r="D1133" s="1"/>
      <c r="E1133" s="2"/>
      <c r="F1133" s="2"/>
    </row>
    <row r="1134" spans="3:6" x14ac:dyDescent="0.25">
      <c r="C1134" s="1"/>
      <c r="D1134" s="1"/>
      <c r="E1134" s="2"/>
      <c r="F1134" s="2"/>
    </row>
    <row r="1135" spans="3:6" x14ac:dyDescent="0.25">
      <c r="C1135" s="1"/>
      <c r="D1135" s="1"/>
      <c r="E1135" s="2"/>
      <c r="F1135" s="2"/>
    </row>
    <row r="1136" spans="3:6" x14ac:dyDescent="0.25">
      <c r="C1136" s="1"/>
      <c r="D1136" s="1"/>
      <c r="E1136" s="2"/>
      <c r="F1136" s="2"/>
    </row>
    <row r="1137" spans="3:6" x14ac:dyDescent="0.25">
      <c r="C1137" s="1"/>
      <c r="D1137" s="1"/>
      <c r="E1137" s="2"/>
      <c r="F1137" s="2"/>
    </row>
    <row r="1138" spans="3:6" x14ac:dyDescent="0.25">
      <c r="C1138" s="1"/>
      <c r="D1138" s="1"/>
      <c r="E1138" s="2"/>
      <c r="F1138" s="2"/>
    </row>
    <row r="1139" spans="3:6" x14ac:dyDescent="0.25">
      <c r="C1139" s="1"/>
      <c r="D1139" s="1"/>
      <c r="E1139" s="2"/>
      <c r="F1139" s="2"/>
    </row>
    <row r="1140" spans="3:6" x14ac:dyDescent="0.25">
      <c r="C1140" s="1"/>
      <c r="D1140" s="1"/>
      <c r="E1140" s="2"/>
      <c r="F1140" s="2"/>
    </row>
    <row r="1141" spans="3:6" x14ac:dyDescent="0.25">
      <c r="C1141" s="1"/>
      <c r="D1141" s="1"/>
      <c r="E1141" s="2"/>
      <c r="F1141" s="2"/>
    </row>
    <row r="1142" spans="3:6" x14ac:dyDescent="0.25">
      <c r="C1142" s="1"/>
      <c r="D1142" s="1"/>
      <c r="E1142" s="2"/>
      <c r="F1142" s="2"/>
    </row>
    <row r="1143" spans="3:6" x14ac:dyDescent="0.25">
      <c r="C1143" s="1"/>
      <c r="D1143" s="1"/>
      <c r="E1143" s="2"/>
      <c r="F1143" s="2"/>
    </row>
    <row r="1144" spans="3:6" x14ac:dyDescent="0.25">
      <c r="C1144" s="1"/>
      <c r="D1144" s="1"/>
      <c r="E1144" s="2"/>
      <c r="F1144" s="2"/>
    </row>
    <row r="1145" spans="3:6" x14ac:dyDescent="0.25">
      <c r="C1145" s="1"/>
      <c r="D1145" s="1"/>
      <c r="E1145" s="2"/>
      <c r="F1145" s="2"/>
    </row>
    <row r="1146" spans="3:6" x14ac:dyDescent="0.25">
      <c r="C1146" s="1"/>
      <c r="D1146" s="1"/>
      <c r="E1146" s="2"/>
      <c r="F1146" s="2"/>
    </row>
    <row r="1147" spans="3:6" x14ac:dyDescent="0.25">
      <c r="C1147" s="1"/>
      <c r="D1147" s="1"/>
      <c r="E1147" s="2"/>
      <c r="F1147" s="2"/>
    </row>
    <row r="1148" spans="3:6" x14ac:dyDescent="0.25">
      <c r="C1148" s="1"/>
      <c r="D1148" s="1"/>
      <c r="E1148" s="2"/>
      <c r="F1148" s="2"/>
    </row>
    <row r="1149" spans="3:6" x14ac:dyDescent="0.25">
      <c r="C1149" s="1"/>
      <c r="D1149" s="1"/>
      <c r="E1149" s="2"/>
      <c r="F1149" s="2"/>
    </row>
    <row r="1150" spans="3:6" x14ac:dyDescent="0.25">
      <c r="C1150" s="1"/>
      <c r="D1150" s="1"/>
      <c r="E1150" s="2"/>
      <c r="F1150" s="2"/>
    </row>
    <row r="1151" spans="3:6" x14ac:dyDescent="0.25">
      <c r="C1151" s="1"/>
      <c r="D1151" s="1"/>
      <c r="E1151" s="2"/>
      <c r="F1151" s="2"/>
    </row>
    <row r="1152" spans="3:6" x14ac:dyDescent="0.25">
      <c r="C1152" s="1"/>
      <c r="D1152" s="1"/>
      <c r="E1152" s="2"/>
      <c r="F1152" s="2"/>
    </row>
    <row r="1153" spans="3:6" x14ac:dyDescent="0.25">
      <c r="C1153" s="1"/>
      <c r="D1153" s="1"/>
      <c r="E1153" s="2"/>
      <c r="F1153" s="2"/>
    </row>
    <row r="1154" spans="3:6" x14ac:dyDescent="0.25">
      <c r="C1154" s="1"/>
      <c r="D1154" s="1"/>
      <c r="E1154" s="2"/>
      <c r="F1154" s="2"/>
    </row>
    <row r="1155" spans="3:6" x14ac:dyDescent="0.25">
      <c r="C1155" s="1"/>
      <c r="D1155" s="1"/>
      <c r="E1155" s="2"/>
      <c r="F1155" s="2"/>
    </row>
    <row r="1156" spans="3:6" x14ac:dyDescent="0.25">
      <c r="C1156" s="1"/>
      <c r="D1156" s="1"/>
      <c r="E1156" s="2"/>
      <c r="F1156" s="2"/>
    </row>
    <row r="1157" spans="3:6" x14ac:dyDescent="0.25">
      <c r="C1157" s="1"/>
      <c r="D1157" s="1"/>
      <c r="E1157" s="2"/>
      <c r="F1157" s="2"/>
    </row>
    <row r="1158" spans="3:6" x14ac:dyDescent="0.25">
      <c r="C1158" s="1"/>
      <c r="D1158" s="1"/>
      <c r="E1158" s="2"/>
      <c r="F1158" s="2"/>
    </row>
    <row r="1159" spans="3:6" x14ac:dyDescent="0.25">
      <c r="C1159" s="1"/>
      <c r="D1159" s="1"/>
      <c r="E1159" s="2"/>
      <c r="F1159" s="2"/>
    </row>
    <row r="1160" spans="3:6" x14ac:dyDescent="0.25">
      <c r="C1160" s="1"/>
      <c r="D1160" s="1"/>
      <c r="E1160" s="2"/>
      <c r="F1160" s="2"/>
    </row>
    <row r="1161" spans="3:6" x14ac:dyDescent="0.25">
      <c r="C1161" s="1"/>
      <c r="D1161" s="1"/>
      <c r="E1161" s="2"/>
      <c r="F1161" s="2"/>
    </row>
    <row r="1162" spans="3:6" x14ac:dyDescent="0.25">
      <c r="C1162" s="1"/>
      <c r="D1162" s="1"/>
      <c r="E1162" s="2"/>
      <c r="F1162" s="2"/>
    </row>
    <row r="1163" spans="3:6" x14ac:dyDescent="0.25">
      <c r="C1163" s="1"/>
      <c r="D1163" s="1"/>
      <c r="E1163" s="2"/>
      <c r="F1163" s="2"/>
    </row>
    <row r="1164" spans="3:6" x14ac:dyDescent="0.25">
      <c r="C1164" s="1"/>
      <c r="D1164" s="1"/>
      <c r="E1164" s="2"/>
      <c r="F1164" s="2"/>
    </row>
    <row r="1165" spans="3:6" x14ac:dyDescent="0.25">
      <c r="C1165" s="1"/>
      <c r="D1165" s="1"/>
      <c r="E1165" s="2"/>
      <c r="F1165" s="2"/>
    </row>
    <row r="1166" spans="3:6" x14ac:dyDescent="0.25">
      <c r="C1166" s="1"/>
      <c r="D1166" s="1"/>
      <c r="E1166" s="2"/>
      <c r="F1166" s="2"/>
    </row>
    <row r="1167" spans="3:6" x14ac:dyDescent="0.25">
      <c r="C1167" s="1"/>
      <c r="D1167" s="1"/>
      <c r="E1167" s="2"/>
      <c r="F1167" s="2"/>
    </row>
    <row r="1168" spans="3:6" x14ac:dyDescent="0.25">
      <c r="C1168" s="1"/>
      <c r="D1168" s="1"/>
      <c r="E1168" s="2"/>
      <c r="F1168" s="2"/>
    </row>
    <row r="1169" spans="3:6" x14ac:dyDescent="0.25">
      <c r="C1169" s="1"/>
      <c r="D1169" s="1"/>
      <c r="E1169" s="2"/>
      <c r="F1169" s="2"/>
    </row>
    <row r="1170" spans="3:6" x14ac:dyDescent="0.25">
      <c r="C1170" s="1"/>
      <c r="D1170" s="1"/>
      <c r="E1170" s="2"/>
      <c r="F1170" s="2"/>
    </row>
    <row r="1171" spans="3:6" x14ac:dyDescent="0.25">
      <c r="C1171" s="1"/>
      <c r="D1171" s="1"/>
      <c r="E1171" s="2"/>
      <c r="F1171" s="2"/>
    </row>
    <row r="1172" spans="3:6" x14ac:dyDescent="0.25">
      <c r="C1172" s="1"/>
      <c r="D1172" s="1"/>
      <c r="E1172" s="2"/>
      <c r="F1172" s="2"/>
    </row>
    <row r="1173" spans="3:6" x14ac:dyDescent="0.25">
      <c r="C1173" s="1"/>
      <c r="D1173" s="1"/>
      <c r="E1173" s="2"/>
      <c r="F1173" s="2"/>
    </row>
    <row r="1174" spans="3:6" x14ac:dyDescent="0.25">
      <c r="C1174" s="1"/>
      <c r="D1174" s="1"/>
      <c r="E1174" s="2"/>
      <c r="F1174" s="2"/>
    </row>
    <row r="1175" spans="3:6" x14ac:dyDescent="0.25">
      <c r="C1175" s="1"/>
      <c r="D1175" s="1"/>
      <c r="E1175" s="2"/>
      <c r="F1175" s="2"/>
    </row>
    <row r="1176" spans="3:6" x14ac:dyDescent="0.25">
      <c r="C1176" s="1"/>
      <c r="D1176" s="1"/>
      <c r="E1176" s="2"/>
      <c r="F1176" s="2"/>
    </row>
    <row r="1177" spans="3:6" x14ac:dyDescent="0.25">
      <c r="C1177" s="1"/>
      <c r="D1177" s="1"/>
      <c r="E1177" s="2"/>
      <c r="F1177" s="2"/>
    </row>
    <row r="1178" spans="3:6" x14ac:dyDescent="0.25">
      <c r="C1178" s="1"/>
      <c r="D1178" s="1"/>
      <c r="E1178" s="2"/>
      <c r="F1178" s="2"/>
    </row>
    <row r="1179" spans="3:6" x14ac:dyDescent="0.25">
      <c r="C1179" s="1"/>
      <c r="D1179" s="1"/>
      <c r="E1179" s="2"/>
      <c r="F1179" s="2"/>
    </row>
    <row r="1180" spans="3:6" x14ac:dyDescent="0.25">
      <c r="C1180" s="1"/>
      <c r="D1180" s="1"/>
      <c r="E1180" s="2"/>
      <c r="F1180" s="2"/>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5EC0-B25B-4994-B080-ACF907E2EEF3}">
  <sheetPr codeName="Sheet3"/>
  <dimension ref="A1:Q1000"/>
  <sheetViews>
    <sheetView zoomScale="70" zoomScaleNormal="70" workbookViewId="0">
      <selection activeCell="O20" sqref="O20"/>
    </sheetView>
  </sheetViews>
  <sheetFormatPr defaultRowHeight="15" x14ac:dyDescent="0.25"/>
  <cols>
    <col min="1" max="1" width="17.5703125" style="5" bestFit="1" customWidth="1"/>
    <col min="2" max="2" width="20.7109375" style="5" bestFit="1" customWidth="1"/>
    <col min="3" max="3" width="17.5703125" style="4" bestFit="1" customWidth="1"/>
    <col min="4" max="4" width="12.140625" style="5" bestFit="1" customWidth="1"/>
    <col min="5" max="5" width="11.7109375" style="4" bestFit="1" customWidth="1"/>
    <col min="6" max="6" width="16" style="6" bestFit="1" customWidth="1"/>
    <col min="7" max="7" width="19.28515625" style="6" bestFit="1" customWidth="1"/>
    <col min="8" max="8" width="22.42578125" style="5" bestFit="1" customWidth="1"/>
    <col min="9" max="9" width="17.28515625" style="5" bestFit="1" customWidth="1"/>
    <col min="10" max="10" width="12.42578125" style="58" customWidth="1"/>
    <col min="11" max="11" width="21.7109375" style="58" customWidth="1"/>
    <col min="12" max="12" width="31.28515625" style="58" bestFit="1" customWidth="1"/>
    <col min="13" max="13" width="20.42578125" style="67" customWidth="1"/>
    <col min="14" max="14" width="38.5703125" bestFit="1" customWidth="1"/>
    <col min="15" max="15" width="11.85546875" bestFit="1" customWidth="1"/>
    <col min="16" max="16" width="21.85546875" bestFit="1" customWidth="1"/>
    <col min="17" max="17" width="37.140625" bestFit="1" customWidth="1"/>
  </cols>
  <sheetData>
    <row r="1" spans="1:17" s="3" customFormat="1" x14ac:dyDescent="0.25">
      <c r="A1" s="3"/>
      <c r="B1" s="3"/>
      <c r="C1" s="32"/>
      <c r="D1" s="3"/>
      <c r="E1" s="32"/>
      <c r="F1" s="31"/>
      <c r="G1" s="31"/>
      <c r="H1" s="3"/>
      <c r="I1" s="3"/>
      <c r="J1" s="56"/>
      <c r="K1" s="56"/>
      <c r="L1" s="56"/>
      <c r="M1" s="66" t="s">
        <v>130</v>
      </c>
      <c r="N1" s="54" t="s">
        <v>77</v>
      </c>
      <c r="O1" s="54" t="s">
        <v>128</v>
      </c>
      <c r="P1" s="55" t="s">
        <v>129</v>
      </c>
      <c r="Q1" s="56" t="s">
        <v>78</v>
      </c>
    </row>
    <row r="2" spans="1:17" ht="45" x14ac:dyDescent="0.25">
      <c r="A2" s="33"/>
      <c r="B2" s="33"/>
      <c r="C2" s="35"/>
      <c r="D2" s="33"/>
      <c r="E2" s="35"/>
      <c r="F2" s="36"/>
      <c r="G2" s="36"/>
      <c r="H2" s="33"/>
      <c r="I2" s="33"/>
      <c r="K2" s="78" t="s">
        <v>28</v>
      </c>
      <c r="L2" s="79"/>
      <c r="M2" s="68" t="str">
        <f>CONCATENATE(N2,"; ",O2)</f>
        <v xml:space="preserve">; </v>
      </c>
      <c r="N2" s="69"/>
      <c r="O2" s="70"/>
      <c r="P2" s="71"/>
      <c r="Q2" s="57"/>
    </row>
    <row r="3" spans="1:17" x14ac:dyDescent="0.25">
      <c r="K3" s="59" t="s">
        <v>24</v>
      </c>
      <c r="L3" s="60" cm="1">
        <f t="array" aca="1" ref="L3" ca="1">SUMPRODUCT((MONTH(Table1__2[Column5])=MONTH(TODAY()))*(YEAR(Table1__2[Column5])=YEAR(TODAY()))*(Table1__2[Column4]&lt;=0)*(Table1__2[Column6]&gt;0)*Table1__2[Column6])</f>
        <v>0</v>
      </c>
      <c r="M3" s="68" t="str">
        <f ca="1">TEXT(TODAY(),"mmmm yyyy") &amp; " Statement"</f>
        <v>June 2026 Statement</v>
      </c>
      <c r="N3" s="69"/>
      <c r="O3" s="70"/>
      <c r="P3" s="71"/>
      <c r="Q3" s="57"/>
    </row>
    <row r="4" spans="1:17" x14ac:dyDescent="0.25">
      <c r="K4" s="59" t="s">
        <v>23</v>
      </c>
      <c r="L4" s="60" cm="1">
        <f t="array" ref="L4">SUMPRODUCT((Table1__2[Column4]&gt;0)*(Table1__2[Column6]&gt;0)*Table1__2[Column6])</f>
        <v>0</v>
      </c>
      <c r="N4" s="69"/>
      <c r="O4" s="70"/>
      <c r="P4" s="71"/>
      <c r="Q4" s="57"/>
    </row>
    <row r="5" spans="1:17" x14ac:dyDescent="0.25">
      <c r="K5" s="59" t="s">
        <v>21</v>
      </c>
      <c r="L5" s="62">
        <f>SUMIF(Table1__2[Column6],"&lt;"&amp;0,Table1__2[Column6])</f>
        <v>0</v>
      </c>
      <c r="N5" s="69"/>
      <c r="O5" s="70"/>
      <c r="P5" s="71"/>
      <c r="Q5" s="57"/>
    </row>
    <row r="6" spans="1:17" x14ac:dyDescent="0.25">
      <c r="K6" s="59" t="s">
        <v>22</v>
      </c>
      <c r="L6" s="60">
        <f ca="1">SUM(L3:L5)</f>
        <v>0</v>
      </c>
      <c r="N6" s="69"/>
      <c r="O6" s="70"/>
      <c r="P6" s="71"/>
      <c r="Q6" s="57"/>
    </row>
    <row r="7" spans="1:17" x14ac:dyDescent="0.25">
      <c r="N7" s="69"/>
      <c r="O7" s="70"/>
      <c r="P7" s="71"/>
      <c r="Q7" s="57"/>
    </row>
    <row r="8" spans="1:17" x14ac:dyDescent="0.25">
      <c r="K8" s="78" t="s">
        <v>29</v>
      </c>
      <c r="L8" s="79"/>
      <c r="N8" s="69"/>
      <c r="O8" s="70"/>
      <c r="P8" s="71"/>
      <c r="Q8" s="57"/>
    </row>
    <row r="9" spans="1:17" x14ac:dyDescent="0.25">
      <c r="K9" s="60" t="s">
        <v>25</v>
      </c>
      <c r="L9" s="60" cm="1">
        <f t="array" aca="1" ref="L9" ca="1">SUMPRODUCT((MONTH(Table1__2[Column5])=MONTH(TODAY()))*(YEAR(Table1__2[Column5])=YEAR(TODAY()))*(DAY(Table1__2[Column5])&lt;=10)*(Table1__2[Column6]&gt;0)*Table1__2[Column6])</f>
        <v>0</v>
      </c>
      <c r="N9" s="69"/>
      <c r="O9" s="70"/>
      <c r="P9" s="71"/>
      <c r="Q9" s="57"/>
    </row>
    <row r="10" spans="1:17" x14ac:dyDescent="0.25">
      <c r="K10" s="60" t="s">
        <v>26</v>
      </c>
      <c r="L10" s="60" cm="1">
        <f t="array" aca="1" ref="L10" ca="1">SUMPRODUCT((MONTH(Table1__2[Column5])=MONTH(TODAY()))*(YEAR(Table1__2[Column5])=YEAR(TODAY()))*(DAY(Table1__2[Column5])&gt;=11)*(DAY(Table1__2[Column5])&lt;=20)*(Table1__2[Column6]&gt;0)*Table1__2[Column6])</f>
        <v>0</v>
      </c>
      <c r="N10" s="69"/>
      <c r="O10" s="70"/>
      <c r="P10" s="71"/>
      <c r="Q10" s="57"/>
    </row>
    <row r="11" spans="1:17" x14ac:dyDescent="0.25">
      <c r="K11" s="60" t="s">
        <v>27</v>
      </c>
      <c r="L11" s="60" cm="1">
        <f t="array" aca="1" ref="L11" ca="1">SUMPRODUCT((MONTH(Table1__2[Column5])=MONTH(TODAY()))*(YEAR(Table1__2[Column5])=YEAR(TODAY()))*(DAY(Table1__2[Column5])&gt;=21)*(Table1__2[Column6]&gt;0)*Table1__2[Column6])</f>
        <v>0</v>
      </c>
      <c r="N11" s="69"/>
      <c r="O11" s="70"/>
      <c r="P11" s="71"/>
      <c r="Q11" s="57"/>
    </row>
    <row r="12" spans="1:17" x14ac:dyDescent="0.25">
      <c r="K12" s="60" t="s">
        <v>127</v>
      </c>
      <c r="L12" s="60">
        <f ca="1">SUM(L9:L11)</f>
        <v>0</v>
      </c>
      <c r="N12" s="69"/>
      <c r="O12" s="70"/>
      <c r="P12" s="71"/>
      <c r="Q12" s="57"/>
    </row>
    <row r="13" spans="1:17" x14ac:dyDescent="0.25">
      <c r="N13" s="69"/>
      <c r="O13" s="70"/>
      <c r="P13" s="71"/>
      <c r="Q13" s="57"/>
    </row>
    <row r="14" spans="1:17" x14ac:dyDescent="0.25">
      <c r="N14" s="69"/>
      <c r="O14" s="70"/>
      <c r="P14" s="71"/>
      <c r="Q14" s="57"/>
    </row>
    <row r="15" spans="1:17" x14ac:dyDescent="0.25">
      <c r="N15" s="69"/>
      <c r="O15" s="70"/>
      <c r="P15" s="71"/>
      <c r="Q15" s="57"/>
    </row>
    <row r="16" spans="1:17" x14ac:dyDescent="0.25">
      <c r="N16" s="69"/>
      <c r="O16" s="70"/>
      <c r="P16" s="71"/>
      <c r="Q16" s="57"/>
    </row>
    <row r="17" spans="14:17" x14ac:dyDescent="0.25">
      <c r="N17" s="69"/>
      <c r="O17" s="70"/>
      <c r="P17" s="71"/>
      <c r="Q17" s="57"/>
    </row>
    <row r="18" spans="14:17" x14ac:dyDescent="0.25">
      <c r="N18" s="69"/>
      <c r="O18" s="70"/>
      <c r="P18" s="71"/>
      <c r="Q18" s="57"/>
    </row>
    <row r="19" spans="14:17" x14ac:dyDescent="0.25">
      <c r="N19" s="69"/>
      <c r="O19" s="70"/>
      <c r="P19" s="71"/>
      <c r="Q19" s="57"/>
    </row>
    <row r="20" spans="14:17" x14ac:dyDescent="0.25">
      <c r="N20" s="69"/>
      <c r="O20" s="70"/>
      <c r="P20" s="71"/>
      <c r="Q20" s="57"/>
    </row>
    <row r="21" spans="14:17" x14ac:dyDescent="0.25">
      <c r="N21" s="69"/>
      <c r="O21" s="70"/>
      <c r="P21" s="71"/>
      <c r="Q21" s="57"/>
    </row>
    <row r="22" spans="14:17" x14ac:dyDescent="0.25">
      <c r="N22" s="69"/>
      <c r="O22" s="70"/>
      <c r="P22" s="71"/>
      <c r="Q22" s="57"/>
    </row>
    <row r="23" spans="14:17" x14ac:dyDescent="0.25">
      <c r="N23" s="69"/>
      <c r="O23" s="70"/>
      <c r="P23" s="71"/>
      <c r="Q23" s="57"/>
    </row>
    <row r="24" spans="14:17" x14ac:dyDescent="0.25">
      <c r="N24" s="69"/>
      <c r="O24" s="70"/>
      <c r="P24" s="71"/>
      <c r="Q24" s="57"/>
    </row>
    <row r="25" spans="14:17" x14ac:dyDescent="0.25">
      <c r="N25" s="69"/>
      <c r="O25" s="69"/>
      <c r="P25" s="69"/>
      <c r="Q25" s="69"/>
    </row>
    <row r="26" spans="14:17" x14ac:dyDescent="0.25">
      <c r="N26" s="69"/>
      <c r="O26" s="70"/>
      <c r="P26" s="71"/>
      <c r="Q26" s="57"/>
    </row>
    <row r="27" spans="14:17" x14ac:dyDescent="0.25">
      <c r="N27" s="69"/>
      <c r="O27" s="70"/>
      <c r="P27" s="71"/>
      <c r="Q27" s="57"/>
    </row>
    <row r="28" spans="14:17" x14ac:dyDescent="0.25">
      <c r="N28" s="69"/>
      <c r="O28" s="70"/>
      <c r="P28" s="71"/>
      <c r="Q28" s="57"/>
    </row>
    <row r="29" spans="14:17" x14ac:dyDescent="0.25">
      <c r="N29" s="69"/>
      <c r="O29" s="70"/>
      <c r="P29" s="71"/>
      <c r="Q29" s="57"/>
    </row>
    <row r="30" spans="14:17" x14ac:dyDescent="0.25">
      <c r="N30" s="69"/>
      <c r="O30" s="70"/>
      <c r="P30" s="71"/>
      <c r="Q30" s="57"/>
    </row>
    <row r="31" spans="14:17" x14ac:dyDescent="0.25">
      <c r="N31" s="69"/>
      <c r="O31" s="70"/>
      <c r="P31" s="71"/>
      <c r="Q31" s="57"/>
    </row>
    <row r="32" spans="14:17" x14ac:dyDescent="0.25">
      <c r="N32" s="69"/>
      <c r="O32" s="70"/>
      <c r="P32" s="71"/>
      <c r="Q32" s="57"/>
    </row>
    <row r="33" spans="14:17" x14ac:dyDescent="0.25">
      <c r="N33" s="69"/>
      <c r="O33" s="70"/>
      <c r="P33" s="71"/>
      <c r="Q33" s="57"/>
    </row>
    <row r="34" spans="14:17" x14ac:dyDescent="0.25">
      <c r="N34" s="69"/>
      <c r="O34" s="70"/>
      <c r="P34" s="71"/>
      <c r="Q34" s="57"/>
    </row>
    <row r="35" spans="14:17" x14ac:dyDescent="0.25">
      <c r="N35" s="69"/>
      <c r="O35" s="70"/>
      <c r="P35" s="71"/>
      <c r="Q35" s="57"/>
    </row>
    <row r="36" spans="14:17" x14ac:dyDescent="0.25">
      <c r="N36" s="69"/>
      <c r="O36" s="70"/>
      <c r="P36" s="71"/>
      <c r="Q36" s="57"/>
    </row>
    <row r="37" spans="14:17" x14ac:dyDescent="0.25">
      <c r="N37" s="69"/>
      <c r="O37" s="70"/>
      <c r="P37" s="71"/>
      <c r="Q37" s="57"/>
    </row>
    <row r="38" spans="14:17" x14ac:dyDescent="0.25">
      <c r="N38" s="69"/>
      <c r="O38" s="70"/>
      <c r="P38" s="71"/>
      <c r="Q38" s="57"/>
    </row>
    <row r="39" spans="14:17" x14ac:dyDescent="0.25">
      <c r="N39" s="69"/>
      <c r="O39" s="70"/>
      <c r="P39" s="71"/>
      <c r="Q39" s="57"/>
    </row>
    <row r="40" spans="14:17" x14ac:dyDescent="0.25">
      <c r="N40" s="69"/>
      <c r="O40" s="70"/>
      <c r="P40" s="71"/>
      <c r="Q40" s="57"/>
    </row>
    <row r="41" spans="14:17" x14ac:dyDescent="0.25">
      <c r="N41" s="69"/>
      <c r="O41" s="70"/>
      <c r="P41" s="71"/>
      <c r="Q41" s="57"/>
    </row>
    <row r="42" spans="14:17" x14ac:dyDescent="0.25">
      <c r="N42" s="69"/>
      <c r="O42" s="70"/>
      <c r="P42" s="71"/>
      <c r="Q42" s="57"/>
    </row>
    <row r="43" spans="14:17" x14ac:dyDescent="0.25">
      <c r="N43" s="69"/>
      <c r="O43" s="70"/>
      <c r="P43" s="71"/>
      <c r="Q43" s="57"/>
    </row>
    <row r="44" spans="14:17" x14ac:dyDescent="0.25">
      <c r="N44" s="69"/>
      <c r="O44" s="70"/>
      <c r="P44" s="71"/>
      <c r="Q44" s="57"/>
    </row>
    <row r="45" spans="14:17" x14ac:dyDescent="0.25">
      <c r="N45" s="69"/>
      <c r="O45" s="70"/>
      <c r="P45" s="71"/>
      <c r="Q45" s="57"/>
    </row>
    <row r="46" spans="14:17" x14ac:dyDescent="0.25">
      <c r="N46" s="69"/>
      <c r="O46" s="70"/>
      <c r="P46" s="71"/>
      <c r="Q46" s="57"/>
    </row>
    <row r="47" spans="14:17" x14ac:dyDescent="0.25">
      <c r="N47" s="69"/>
      <c r="O47" s="70"/>
      <c r="P47" s="71"/>
      <c r="Q47" s="57"/>
    </row>
    <row r="48" spans="14:17" x14ac:dyDescent="0.25">
      <c r="N48" s="69"/>
      <c r="O48" s="70"/>
      <c r="P48" s="71"/>
      <c r="Q48" s="57"/>
    </row>
    <row r="49" spans="14:17" x14ac:dyDescent="0.25">
      <c r="N49" s="69"/>
      <c r="O49" s="70"/>
      <c r="P49" s="71"/>
      <c r="Q49" s="57"/>
    </row>
    <row r="50" spans="14:17" x14ac:dyDescent="0.25">
      <c r="N50" s="69"/>
      <c r="O50" s="70"/>
      <c r="P50" s="71"/>
      <c r="Q50" s="57"/>
    </row>
    <row r="51" spans="14:17" x14ac:dyDescent="0.25">
      <c r="N51" s="69"/>
      <c r="O51" s="70"/>
      <c r="P51" s="71"/>
      <c r="Q51" s="57"/>
    </row>
    <row r="52" spans="14:17" x14ac:dyDescent="0.25">
      <c r="N52" s="69"/>
      <c r="O52" s="70"/>
      <c r="P52" s="71"/>
      <c r="Q52" s="57"/>
    </row>
    <row r="53" spans="14:17" x14ac:dyDescent="0.25">
      <c r="N53" s="69"/>
      <c r="O53" s="70"/>
      <c r="P53" s="71"/>
      <c r="Q53" s="57"/>
    </row>
    <row r="54" spans="14:17" x14ac:dyDescent="0.25">
      <c r="N54" s="69"/>
      <c r="O54" s="70"/>
      <c r="P54" s="71"/>
      <c r="Q54" s="57"/>
    </row>
    <row r="55" spans="14:17" x14ac:dyDescent="0.25">
      <c r="N55" s="69"/>
      <c r="O55" s="70"/>
      <c r="P55" s="71"/>
      <c r="Q55" s="57"/>
    </row>
    <row r="56" spans="14:17" x14ac:dyDescent="0.25">
      <c r="N56" s="69"/>
      <c r="O56" s="70"/>
      <c r="P56" s="71"/>
      <c r="Q56" s="57"/>
    </row>
    <row r="57" spans="14:17" x14ac:dyDescent="0.25">
      <c r="N57" s="69"/>
      <c r="O57" s="70"/>
      <c r="P57" s="71"/>
      <c r="Q57" s="57"/>
    </row>
    <row r="58" spans="14:17" x14ac:dyDescent="0.25">
      <c r="N58" s="69"/>
      <c r="O58" s="70"/>
      <c r="P58" s="71"/>
      <c r="Q58" s="64"/>
    </row>
    <row r="59" spans="14:17" x14ac:dyDescent="0.25">
      <c r="N59" s="69"/>
      <c r="O59" s="70"/>
      <c r="P59" s="71"/>
      <c r="Q59" s="57"/>
    </row>
    <row r="60" spans="14:17" x14ac:dyDescent="0.25">
      <c r="N60" s="69"/>
      <c r="O60" s="70"/>
      <c r="P60" s="71"/>
      <c r="Q60" s="57"/>
    </row>
    <row r="61" spans="14:17" x14ac:dyDescent="0.25">
      <c r="N61" s="69"/>
      <c r="O61" s="70"/>
      <c r="P61" s="71"/>
      <c r="Q61" s="57"/>
    </row>
    <row r="62" spans="14:17" x14ac:dyDescent="0.25">
      <c r="N62" s="69"/>
      <c r="O62" s="70"/>
      <c r="P62" s="71"/>
      <c r="Q62" s="57"/>
    </row>
    <row r="63" spans="14:17" x14ac:dyDescent="0.25">
      <c r="N63" s="69"/>
      <c r="O63" s="70"/>
      <c r="P63" s="71"/>
      <c r="Q63" s="57"/>
    </row>
    <row r="64" spans="14:17" x14ac:dyDescent="0.25">
      <c r="N64" s="69"/>
      <c r="O64" s="70"/>
      <c r="P64" s="71"/>
      <c r="Q64" s="57"/>
    </row>
    <row r="65" spans="14:17" x14ac:dyDescent="0.25">
      <c r="N65" s="69"/>
      <c r="O65" s="70"/>
      <c r="P65" s="71"/>
      <c r="Q65" s="57"/>
    </row>
    <row r="66" spans="14:17" x14ac:dyDescent="0.25">
      <c r="N66" s="69"/>
      <c r="O66" s="70"/>
      <c r="P66" s="71"/>
      <c r="Q66" s="57"/>
    </row>
    <row r="67" spans="14:17" x14ac:dyDescent="0.25">
      <c r="N67" s="69"/>
      <c r="O67" s="70"/>
      <c r="P67" s="71"/>
      <c r="Q67" s="57"/>
    </row>
    <row r="68" spans="14:17" x14ac:dyDescent="0.25">
      <c r="N68" s="69"/>
      <c r="O68" s="70"/>
      <c r="P68" s="71"/>
      <c r="Q68" s="57"/>
    </row>
    <row r="69" spans="14:17" x14ac:dyDescent="0.25">
      <c r="N69" s="69"/>
      <c r="O69" s="70"/>
      <c r="P69" s="71"/>
      <c r="Q69" s="57"/>
    </row>
    <row r="70" spans="14:17" x14ac:dyDescent="0.25">
      <c r="N70" s="69"/>
      <c r="O70" s="70"/>
      <c r="P70" s="71"/>
      <c r="Q70" s="57"/>
    </row>
    <row r="71" spans="14:17" x14ac:dyDescent="0.25">
      <c r="N71" s="69"/>
      <c r="O71" s="70"/>
      <c r="P71" s="71"/>
      <c r="Q71" s="57"/>
    </row>
    <row r="72" spans="14:17" x14ac:dyDescent="0.25">
      <c r="N72" s="69"/>
      <c r="O72" s="70"/>
      <c r="P72" s="71"/>
      <c r="Q72" s="57"/>
    </row>
    <row r="73" spans="14:17" x14ac:dyDescent="0.25">
      <c r="N73" s="69"/>
      <c r="O73" s="70"/>
      <c r="P73" s="71"/>
      <c r="Q73" s="57"/>
    </row>
    <row r="74" spans="14:17" x14ac:dyDescent="0.25">
      <c r="N74" s="69"/>
      <c r="O74" s="70"/>
      <c r="P74" s="71"/>
      <c r="Q74" s="57"/>
    </row>
    <row r="75" spans="14:17" x14ac:dyDescent="0.25">
      <c r="N75" s="69"/>
      <c r="O75" s="70"/>
      <c r="P75" s="71"/>
      <c r="Q75" s="57"/>
    </row>
    <row r="76" spans="14:17" x14ac:dyDescent="0.25">
      <c r="N76" s="69"/>
      <c r="O76" s="70"/>
      <c r="P76" s="71"/>
      <c r="Q76" s="57"/>
    </row>
    <row r="77" spans="14:17" x14ac:dyDescent="0.25">
      <c r="N77" s="69"/>
      <c r="O77" s="70"/>
      <c r="P77" s="71"/>
      <c r="Q77" s="57"/>
    </row>
    <row r="78" spans="14:17" x14ac:dyDescent="0.25">
      <c r="N78" s="69"/>
      <c r="O78" s="70"/>
      <c r="P78" s="71"/>
      <c r="Q78" s="57"/>
    </row>
    <row r="79" spans="14:17" x14ac:dyDescent="0.25">
      <c r="N79" s="72"/>
      <c r="O79" s="73"/>
      <c r="P79" s="74"/>
      <c r="Q79" s="65"/>
    </row>
    <row r="80" spans="14:17" x14ac:dyDescent="0.25">
      <c r="N80" s="58"/>
      <c r="O80" s="58"/>
      <c r="P80" s="76"/>
      <c r="Q80" s="56"/>
    </row>
    <row r="81" spans="14:17" x14ac:dyDescent="0.25">
      <c r="N81" s="58"/>
      <c r="O81" s="58"/>
      <c r="P81" s="58"/>
      <c r="Q81" s="58"/>
    </row>
    <row r="82" spans="14:17" x14ac:dyDescent="0.25">
      <c r="N82" s="58"/>
      <c r="O82" s="58"/>
      <c r="P82" s="58"/>
      <c r="Q82" s="58"/>
    </row>
    <row r="83" spans="14:17" x14ac:dyDescent="0.25">
      <c r="N83" s="58"/>
      <c r="O83" s="58"/>
      <c r="P83" s="58"/>
      <c r="Q83" s="58"/>
    </row>
    <row r="84" spans="14:17" x14ac:dyDescent="0.25">
      <c r="N84" s="58"/>
      <c r="O84" s="58"/>
      <c r="P84" s="58"/>
      <c r="Q84" s="58"/>
    </row>
    <row r="85" spans="14:17" x14ac:dyDescent="0.25">
      <c r="N85" s="58"/>
      <c r="O85" s="58"/>
      <c r="P85" s="58"/>
      <c r="Q85" s="58"/>
    </row>
    <row r="86" spans="14:17" x14ac:dyDescent="0.25">
      <c r="N86" s="58"/>
      <c r="O86" s="58"/>
      <c r="P86" s="58"/>
      <c r="Q86" s="58"/>
    </row>
    <row r="87" spans="14:17" x14ac:dyDescent="0.25">
      <c r="N87" s="58"/>
      <c r="O87" s="58"/>
      <c r="P87" s="58"/>
      <c r="Q87" s="58"/>
    </row>
    <row r="88" spans="14:17" x14ac:dyDescent="0.25">
      <c r="N88" s="58"/>
      <c r="O88" s="58"/>
      <c r="P88" s="58"/>
      <c r="Q88" s="58"/>
    </row>
    <row r="89" spans="14:17" x14ac:dyDescent="0.25">
      <c r="N89" s="58"/>
      <c r="O89" s="58"/>
      <c r="P89" s="58"/>
      <c r="Q89" s="58"/>
    </row>
    <row r="90" spans="14:17" x14ac:dyDescent="0.25">
      <c r="N90" s="58"/>
      <c r="O90" s="58"/>
      <c r="P90" s="58"/>
      <c r="Q90" s="58"/>
    </row>
    <row r="91" spans="14:17" x14ac:dyDescent="0.25">
      <c r="N91" s="58"/>
      <c r="O91" s="58"/>
      <c r="P91" s="58"/>
      <c r="Q91" s="58"/>
    </row>
    <row r="92" spans="14:17" x14ac:dyDescent="0.25">
      <c r="N92" s="58"/>
      <c r="O92" s="58"/>
      <c r="P92" s="58"/>
      <c r="Q92" s="58"/>
    </row>
    <row r="93" spans="14:17" x14ac:dyDescent="0.25">
      <c r="N93" s="58"/>
      <c r="O93" s="58"/>
      <c r="P93" s="58"/>
      <c r="Q93" s="58"/>
    </row>
    <row r="94" spans="14:17" x14ac:dyDescent="0.25">
      <c r="N94" s="58"/>
      <c r="O94" s="58"/>
      <c r="P94" s="58"/>
      <c r="Q94" s="58"/>
    </row>
    <row r="95" spans="14:17" x14ac:dyDescent="0.25">
      <c r="N95" s="58"/>
      <c r="O95" s="58"/>
      <c r="P95" s="58"/>
      <c r="Q95" s="58"/>
    </row>
    <row r="96" spans="14:17" x14ac:dyDescent="0.25">
      <c r="N96" s="58"/>
      <c r="O96" s="58"/>
      <c r="P96" s="58"/>
      <c r="Q96" s="58"/>
    </row>
    <row r="97" spans="14:17" x14ac:dyDescent="0.25">
      <c r="N97" s="58"/>
      <c r="O97" s="58"/>
      <c r="P97" s="58"/>
      <c r="Q97" s="58"/>
    </row>
    <row r="98" spans="14:17" x14ac:dyDescent="0.25">
      <c r="N98" s="58"/>
      <c r="O98" s="58"/>
      <c r="P98" s="58"/>
      <c r="Q98" s="58"/>
    </row>
    <row r="99" spans="14:17" x14ac:dyDescent="0.25">
      <c r="N99" s="58"/>
      <c r="O99" s="58"/>
      <c r="P99" s="58"/>
      <c r="Q99" s="58"/>
    </row>
    <row r="100" spans="14:17" x14ac:dyDescent="0.25">
      <c r="N100" s="58"/>
      <c r="O100" s="58"/>
      <c r="P100" s="58"/>
      <c r="Q100" s="58"/>
    </row>
    <row r="101" spans="14:17" x14ac:dyDescent="0.25">
      <c r="N101" s="58"/>
      <c r="O101" s="58"/>
      <c r="P101" s="58"/>
      <c r="Q101" s="58"/>
    </row>
    <row r="102" spans="14:17" x14ac:dyDescent="0.25">
      <c r="N102" s="58"/>
      <c r="O102" s="58"/>
      <c r="P102" s="58"/>
      <c r="Q102" s="58"/>
    </row>
    <row r="103" spans="14:17" x14ac:dyDescent="0.25">
      <c r="N103" s="58"/>
      <c r="O103" s="58"/>
      <c r="P103" s="58"/>
      <c r="Q103" s="58"/>
    </row>
    <row r="104" spans="14:17" x14ac:dyDescent="0.25">
      <c r="N104" s="58"/>
      <c r="O104" s="58"/>
      <c r="P104" s="58"/>
      <c r="Q104" s="58"/>
    </row>
    <row r="105" spans="14:17" x14ac:dyDescent="0.25">
      <c r="N105" s="58"/>
      <c r="O105" s="58"/>
      <c r="P105" s="58"/>
      <c r="Q105" s="58"/>
    </row>
    <row r="106" spans="14:17" x14ac:dyDescent="0.25">
      <c r="N106" s="58"/>
      <c r="O106" s="58"/>
      <c r="P106" s="58"/>
      <c r="Q106" s="58"/>
    </row>
    <row r="107" spans="14:17" x14ac:dyDescent="0.25">
      <c r="N107" s="58"/>
      <c r="O107" s="58"/>
      <c r="P107" s="58"/>
      <c r="Q107" s="58"/>
    </row>
    <row r="108" spans="14:17" x14ac:dyDescent="0.25">
      <c r="N108" s="58"/>
      <c r="O108" s="58"/>
      <c r="P108" s="58"/>
      <c r="Q108" s="58"/>
    </row>
    <row r="109" spans="14:17" x14ac:dyDescent="0.25">
      <c r="N109" s="58"/>
      <c r="O109" s="58"/>
      <c r="P109" s="58"/>
      <c r="Q109" s="58"/>
    </row>
    <row r="110" spans="14:17" x14ac:dyDescent="0.25">
      <c r="N110" s="58"/>
      <c r="O110" s="58"/>
      <c r="P110" s="58"/>
      <c r="Q110" s="58"/>
    </row>
    <row r="111" spans="14:17" x14ac:dyDescent="0.25">
      <c r="N111" s="58"/>
      <c r="O111" s="58"/>
      <c r="P111" s="58"/>
      <c r="Q111" s="58"/>
    </row>
    <row r="112" spans="14:17" x14ac:dyDescent="0.25">
      <c r="N112" s="58"/>
      <c r="O112" s="58"/>
      <c r="P112" s="58"/>
      <c r="Q112" s="58"/>
    </row>
    <row r="113" spans="14:17" x14ac:dyDescent="0.25">
      <c r="N113" s="58"/>
      <c r="O113" s="58"/>
      <c r="P113" s="58"/>
      <c r="Q113" s="58"/>
    </row>
    <row r="114" spans="14:17" x14ac:dyDescent="0.25">
      <c r="N114" s="58"/>
      <c r="O114" s="58"/>
      <c r="P114" s="58"/>
      <c r="Q114" s="58"/>
    </row>
    <row r="115" spans="14:17" x14ac:dyDescent="0.25">
      <c r="N115" s="58"/>
      <c r="O115" s="58"/>
      <c r="P115" s="58"/>
      <c r="Q115" s="58"/>
    </row>
    <row r="116" spans="14:17" x14ac:dyDescent="0.25">
      <c r="N116" s="58"/>
      <c r="O116" s="58"/>
      <c r="P116" s="58"/>
      <c r="Q116" s="58"/>
    </row>
    <row r="117" spans="14:17" x14ac:dyDescent="0.25">
      <c r="N117" s="58"/>
      <c r="O117" s="58"/>
      <c r="P117" s="58"/>
      <c r="Q117" s="58"/>
    </row>
    <row r="118" spans="14:17" x14ac:dyDescent="0.25">
      <c r="N118" s="58"/>
      <c r="O118" s="58"/>
      <c r="P118" s="58"/>
      <c r="Q118" s="58"/>
    </row>
    <row r="119" spans="14:17" x14ac:dyDescent="0.25">
      <c r="N119" s="58"/>
      <c r="O119" s="58"/>
      <c r="P119" s="58"/>
      <c r="Q119" s="58"/>
    </row>
    <row r="120" spans="14:17" x14ac:dyDescent="0.25">
      <c r="N120" s="58"/>
      <c r="O120" s="58"/>
      <c r="P120" s="58"/>
      <c r="Q120" s="58"/>
    </row>
    <row r="121" spans="14:17" x14ac:dyDescent="0.25">
      <c r="N121" s="58"/>
      <c r="O121" s="58"/>
      <c r="P121" s="58"/>
      <c r="Q121" s="58"/>
    </row>
    <row r="122" spans="14:17" x14ac:dyDescent="0.25">
      <c r="N122" s="58"/>
      <c r="O122" s="58"/>
      <c r="P122" s="58"/>
      <c r="Q122" s="58"/>
    </row>
    <row r="123" spans="14:17" x14ac:dyDescent="0.25">
      <c r="N123" s="58"/>
      <c r="O123" s="58"/>
      <c r="P123" s="58"/>
      <c r="Q123" s="58"/>
    </row>
    <row r="124" spans="14:17" x14ac:dyDescent="0.25">
      <c r="N124" s="58"/>
      <c r="O124" s="58"/>
      <c r="P124" s="58"/>
      <c r="Q124" s="58"/>
    </row>
    <row r="125" spans="14:17" x14ac:dyDescent="0.25">
      <c r="N125" s="58"/>
      <c r="O125" s="58"/>
      <c r="P125" s="58"/>
      <c r="Q125" s="58"/>
    </row>
    <row r="126" spans="14:17" x14ac:dyDescent="0.25">
      <c r="N126" s="58"/>
      <c r="O126" s="58"/>
      <c r="P126" s="58"/>
      <c r="Q126" s="58"/>
    </row>
    <row r="127" spans="14:17" x14ac:dyDescent="0.25">
      <c r="N127" s="58"/>
      <c r="O127" s="58"/>
      <c r="P127" s="58"/>
      <c r="Q127" s="58"/>
    </row>
    <row r="128" spans="14:17" x14ac:dyDescent="0.25">
      <c r="N128" s="58"/>
      <c r="O128" s="58"/>
      <c r="P128" s="58"/>
      <c r="Q128" s="58"/>
    </row>
    <row r="129" spans="14:17" x14ac:dyDescent="0.25">
      <c r="N129" s="58"/>
      <c r="O129" s="58"/>
      <c r="P129" s="58"/>
      <c r="Q129" s="58"/>
    </row>
    <row r="130" spans="14:17" x14ac:dyDescent="0.25">
      <c r="N130" s="58"/>
      <c r="O130" s="58"/>
      <c r="P130" s="58"/>
      <c r="Q130" s="58"/>
    </row>
    <row r="131" spans="14:17" x14ac:dyDescent="0.25">
      <c r="N131" s="58"/>
      <c r="O131" s="58"/>
      <c r="P131" s="58"/>
      <c r="Q131" s="58"/>
    </row>
    <row r="132" spans="14:17" x14ac:dyDescent="0.25">
      <c r="N132" s="58"/>
      <c r="O132" s="58"/>
      <c r="P132" s="58"/>
      <c r="Q132" s="58"/>
    </row>
    <row r="133" spans="14:17" x14ac:dyDescent="0.25">
      <c r="N133" s="58"/>
      <c r="O133" s="58"/>
      <c r="P133" s="58"/>
      <c r="Q133" s="58"/>
    </row>
    <row r="134" spans="14:17" x14ac:dyDescent="0.25">
      <c r="N134" s="58"/>
      <c r="O134" s="58"/>
      <c r="P134" s="58"/>
      <c r="Q134" s="58"/>
    </row>
    <row r="135" spans="14:17" x14ac:dyDescent="0.25">
      <c r="N135" s="58"/>
      <c r="O135" s="58"/>
      <c r="P135" s="58"/>
      <c r="Q135" s="58"/>
    </row>
    <row r="136" spans="14:17" x14ac:dyDescent="0.25">
      <c r="N136" s="58"/>
      <c r="O136" s="58"/>
      <c r="P136" s="58"/>
      <c r="Q136" s="58"/>
    </row>
    <row r="137" spans="14:17" x14ac:dyDescent="0.25">
      <c r="N137" s="58"/>
      <c r="O137" s="58"/>
      <c r="P137" s="58"/>
      <c r="Q137" s="58"/>
    </row>
    <row r="138" spans="14:17" x14ac:dyDescent="0.25">
      <c r="N138" s="58"/>
      <c r="O138" s="58"/>
      <c r="P138" s="58"/>
      <c r="Q138" s="58"/>
    </row>
    <row r="139" spans="14:17" x14ac:dyDescent="0.25">
      <c r="N139" s="58"/>
      <c r="O139" s="58"/>
      <c r="P139" s="58"/>
      <c r="Q139" s="58"/>
    </row>
    <row r="140" spans="14:17" x14ac:dyDescent="0.25">
      <c r="N140" s="58"/>
      <c r="O140" s="58"/>
      <c r="P140" s="58"/>
      <c r="Q140" s="58"/>
    </row>
    <row r="141" spans="14:17" x14ac:dyDescent="0.25">
      <c r="N141" s="58"/>
      <c r="O141" s="58"/>
      <c r="P141" s="58"/>
      <c r="Q141" s="58"/>
    </row>
    <row r="142" spans="14:17" x14ac:dyDescent="0.25">
      <c r="N142" s="58"/>
      <c r="O142" s="58"/>
      <c r="P142" s="58"/>
      <c r="Q142" s="58"/>
    </row>
    <row r="143" spans="14:17" x14ac:dyDescent="0.25">
      <c r="N143" s="58"/>
      <c r="O143" s="58"/>
      <c r="P143" s="58"/>
      <c r="Q143" s="58"/>
    </row>
    <row r="144" spans="14:17" x14ac:dyDescent="0.25">
      <c r="N144" s="58"/>
      <c r="O144" s="58"/>
      <c r="P144" s="58"/>
      <c r="Q144" s="58"/>
    </row>
    <row r="145" spans="14:17" x14ac:dyDescent="0.25">
      <c r="N145" s="58"/>
      <c r="O145" s="58"/>
      <c r="P145" s="58"/>
      <c r="Q145" s="58"/>
    </row>
    <row r="146" spans="14:17" x14ac:dyDescent="0.25">
      <c r="N146" s="58"/>
      <c r="O146" s="58"/>
      <c r="P146" s="58"/>
      <c r="Q146" s="58"/>
    </row>
    <row r="147" spans="14:17" x14ac:dyDescent="0.25">
      <c r="N147" s="58"/>
      <c r="O147" s="58"/>
      <c r="P147" s="58"/>
      <c r="Q147" s="58"/>
    </row>
    <row r="148" spans="14:17" x14ac:dyDescent="0.25">
      <c r="N148" s="58"/>
      <c r="O148" s="58"/>
      <c r="P148" s="58"/>
      <c r="Q148" s="58"/>
    </row>
    <row r="149" spans="14:17" x14ac:dyDescent="0.25">
      <c r="N149" s="58"/>
      <c r="O149" s="58"/>
      <c r="P149" s="58"/>
      <c r="Q149" s="58"/>
    </row>
    <row r="150" spans="14:17" x14ac:dyDescent="0.25">
      <c r="N150" s="58"/>
      <c r="O150" s="58"/>
      <c r="P150" s="58"/>
      <c r="Q150" s="58"/>
    </row>
    <row r="151" spans="14:17" x14ac:dyDescent="0.25">
      <c r="N151" s="58"/>
      <c r="O151" s="58"/>
      <c r="P151" s="58"/>
      <c r="Q151" s="58"/>
    </row>
    <row r="152" spans="14:17" x14ac:dyDescent="0.25">
      <c r="N152" s="58"/>
      <c r="O152" s="58"/>
      <c r="P152" s="58"/>
      <c r="Q152" s="58"/>
    </row>
    <row r="153" spans="14:17" x14ac:dyDescent="0.25">
      <c r="N153" s="58"/>
      <c r="O153" s="58"/>
      <c r="P153" s="58"/>
      <c r="Q153" s="58"/>
    </row>
    <row r="154" spans="14:17" x14ac:dyDescent="0.25">
      <c r="N154" s="58"/>
      <c r="O154" s="58"/>
      <c r="P154" s="58"/>
      <c r="Q154" s="58"/>
    </row>
    <row r="155" spans="14:17" x14ac:dyDescent="0.25">
      <c r="N155" s="58"/>
      <c r="O155" s="58"/>
      <c r="P155" s="58"/>
      <c r="Q155" s="58"/>
    </row>
    <row r="156" spans="14:17" x14ac:dyDescent="0.25">
      <c r="N156" s="58"/>
      <c r="O156" s="58"/>
      <c r="P156" s="58"/>
      <c r="Q156" s="58"/>
    </row>
    <row r="157" spans="14:17" x14ac:dyDescent="0.25">
      <c r="N157" s="58"/>
      <c r="O157" s="58"/>
      <c r="P157" s="58"/>
      <c r="Q157" s="58"/>
    </row>
    <row r="158" spans="14:17" x14ac:dyDescent="0.25">
      <c r="N158" s="58"/>
      <c r="O158" s="58"/>
      <c r="P158" s="58"/>
      <c r="Q158" s="58"/>
    </row>
    <row r="159" spans="14:17" x14ac:dyDescent="0.25">
      <c r="N159" s="58"/>
      <c r="O159" s="58"/>
      <c r="P159" s="58"/>
      <c r="Q159" s="58"/>
    </row>
    <row r="160" spans="14:17" x14ac:dyDescent="0.25">
      <c r="N160" s="58"/>
      <c r="O160" s="58"/>
      <c r="P160" s="58"/>
      <c r="Q160" s="58"/>
    </row>
    <row r="161" spans="14:17" x14ac:dyDescent="0.25">
      <c r="N161" s="58"/>
      <c r="O161" s="58"/>
      <c r="P161" s="58"/>
      <c r="Q161" s="58"/>
    </row>
    <row r="162" spans="14:17" x14ac:dyDescent="0.25">
      <c r="N162" s="58"/>
      <c r="O162" s="58"/>
      <c r="P162" s="58"/>
      <c r="Q162" s="58"/>
    </row>
    <row r="163" spans="14:17" x14ac:dyDescent="0.25">
      <c r="N163" s="58"/>
      <c r="O163" s="58"/>
      <c r="P163" s="58"/>
      <c r="Q163" s="58"/>
    </row>
    <row r="164" spans="14:17" x14ac:dyDescent="0.25">
      <c r="N164" s="58"/>
      <c r="O164" s="58"/>
      <c r="P164" s="58"/>
      <c r="Q164" s="58"/>
    </row>
    <row r="165" spans="14:17" x14ac:dyDescent="0.25">
      <c r="N165" s="58"/>
      <c r="O165" s="58"/>
      <c r="P165" s="58"/>
      <c r="Q165" s="58"/>
    </row>
    <row r="166" spans="14:17" x14ac:dyDescent="0.25">
      <c r="N166" s="58"/>
      <c r="O166" s="58"/>
      <c r="P166" s="58"/>
      <c r="Q166" s="58"/>
    </row>
    <row r="167" spans="14:17" x14ac:dyDescent="0.25">
      <c r="N167" s="58"/>
      <c r="O167" s="58"/>
      <c r="P167" s="58"/>
      <c r="Q167" s="58"/>
    </row>
    <row r="168" spans="14:17" x14ac:dyDescent="0.25">
      <c r="N168" s="58"/>
      <c r="O168" s="58"/>
      <c r="P168" s="58"/>
      <c r="Q168" s="58"/>
    </row>
    <row r="169" spans="14:17" x14ac:dyDescent="0.25">
      <c r="N169" s="58"/>
      <c r="O169" s="58"/>
      <c r="P169" s="58"/>
      <c r="Q169" s="58"/>
    </row>
    <row r="170" spans="14:17" x14ac:dyDescent="0.25">
      <c r="N170" s="58"/>
      <c r="O170" s="58"/>
      <c r="P170" s="58"/>
      <c r="Q170" s="58"/>
    </row>
    <row r="171" spans="14:17" x14ac:dyDescent="0.25">
      <c r="N171" s="58"/>
      <c r="O171" s="58"/>
      <c r="P171" s="58"/>
      <c r="Q171" s="58"/>
    </row>
    <row r="172" spans="14:17" x14ac:dyDescent="0.25">
      <c r="N172" s="58"/>
      <c r="O172" s="58"/>
      <c r="P172" s="58"/>
      <c r="Q172" s="58"/>
    </row>
    <row r="173" spans="14:17" x14ac:dyDescent="0.25">
      <c r="N173" s="58"/>
      <c r="O173" s="58"/>
      <c r="P173" s="58"/>
      <c r="Q173" s="58"/>
    </row>
    <row r="174" spans="14:17" x14ac:dyDescent="0.25">
      <c r="N174" s="58"/>
      <c r="O174" s="58"/>
      <c r="P174" s="58"/>
      <c r="Q174" s="58"/>
    </row>
    <row r="175" spans="14:17" x14ac:dyDescent="0.25">
      <c r="N175" s="58"/>
      <c r="O175" s="58"/>
      <c r="P175" s="58"/>
      <c r="Q175" s="58"/>
    </row>
    <row r="176" spans="14:17" x14ac:dyDescent="0.25">
      <c r="N176" s="58"/>
      <c r="O176" s="58"/>
      <c r="P176" s="58"/>
      <c r="Q176" s="58"/>
    </row>
    <row r="177" spans="14:17" x14ac:dyDescent="0.25">
      <c r="N177" s="58"/>
      <c r="O177" s="58"/>
      <c r="P177" s="58"/>
      <c r="Q177" s="58"/>
    </row>
    <row r="178" spans="14:17" x14ac:dyDescent="0.25">
      <c r="N178" s="58"/>
      <c r="O178" s="58"/>
      <c r="P178" s="58"/>
      <c r="Q178" s="58"/>
    </row>
    <row r="179" spans="14:17" x14ac:dyDescent="0.25">
      <c r="N179" s="58"/>
      <c r="O179" s="58"/>
      <c r="P179" s="58"/>
      <c r="Q179" s="58"/>
    </row>
    <row r="180" spans="14:17" x14ac:dyDescent="0.25">
      <c r="N180" s="58"/>
      <c r="O180" s="58"/>
      <c r="P180" s="58"/>
      <c r="Q180" s="58"/>
    </row>
    <row r="181" spans="14:17" x14ac:dyDescent="0.25">
      <c r="N181" s="58"/>
      <c r="O181" s="58"/>
      <c r="P181" s="58"/>
      <c r="Q181" s="58"/>
    </row>
    <row r="182" spans="14:17" x14ac:dyDescent="0.25">
      <c r="N182" s="58"/>
      <c r="O182" s="58"/>
      <c r="P182" s="58"/>
      <c r="Q182" s="58"/>
    </row>
    <row r="183" spans="14:17" x14ac:dyDescent="0.25">
      <c r="N183" s="58"/>
      <c r="O183" s="58"/>
      <c r="P183" s="58"/>
      <c r="Q183" s="58"/>
    </row>
    <row r="184" spans="14:17" x14ac:dyDescent="0.25">
      <c r="N184" s="58"/>
      <c r="O184" s="58"/>
      <c r="P184" s="58"/>
      <c r="Q184" s="58"/>
    </row>
    <row r="185" spans="14:17" x14ac:dyDescent="0.25">
      <c r="N185" s="58"/>
      <c r="O185" s="58"/>
      <c r="P185" s="58"/>
      <c r="Q185" s="58"/>
    </row>
    <row r="186" spans="14:17" x14ac:dyDescent="0.25">
      <c r="N186" s="58"/>
      <c r="O186" s="58"/>
      <c r="P186" s="58"/>
      <c r="Q186" s="58"/>
    </row>
    <row r="187" spans="14:17" x14ac:dyDescent="0.25">
      <c r="N187" s="58"/>
      <c r="O187" s="58"/>
      <c r="P187" s="58"/>
      <c r="Q187" s="58"/>
    </row>
    <row r="188" spans="14:17" x14ac:dyDescent="0.25">
      <c r="N188" s="58"/>
      <c r="O188" s="58"/>
      <c r="P188" s="58"/>
      <c r="Q188" s="58"/>
    </row>
    <row r="189" spans="14:17" x14ac:dyDescent="0.25">
      <c r="N189" s="58"/>
      <c r="O189" s="58"/>
      <c r="P189" s="58"/>
      <c r="Q189" s="58"/>
    </row>
    <row r="190" spans="14:17" x14ac:dyDescent="0.25">
      <c r="N190" s="58"/>
      <c r="O190" s="58"/>
      <c r="P190" s="58"/>
      <c r="Q190" s="58"/>
    </row>
    <row r="191" spans="14:17" x14ac:dyDescent="0.25">
      <c r="N191" s="58"/>
      <c r="O191" s="58"/>
      <c r="P191" s="58"/>
      <c r="Q191" s="58"/>
    </row>
    <row r="192" spans="14:17" x14ac:dyDescent="0.25">
      <c r="N192" s="58"/>
      <c r="O192" s="58"/>
      <c r="P192" s="58"/>
      <c r="Q192" s="58"/>
    </row>
    <row r="193" spans="14:17" x14ac:dyDescent="0.25">
      <c r="N193" s="58"/>
      <c r="O193" s="58"/>
      <c r="P193" s="58"/>
      <c r="Q193" s="58"/>
    </row>
    <row r="194" spans="14:17" x14ac:dyDescent="0.25">
      <c r="N194" s="58"/>
      <c r="O194" s="58"/>
      <c r="P194" s="58"/>
      <c r="Q194" s="58"/>
    </row>
    <row r="195" spans="14:17" x14ac:dyDescent="0.25">
      <c r="N195" s="58"/>
      <c r="O195" s="58"/>
      <c r="P195" s="58"/>
      <c r="Q195" s="58"/>
    </row>
    <row r="196" spans="14:17" x14ac:dyDescent="0.25">
      <c r="N196" s="58"/>
      <c r="O196" s="58"/>
      <c r="P196" s="58"/>
      <c r="Q196" s="58"/>
    </row>
    <row r="197" spans="14:17" x14ac:dyDescent="0.25">
      <c r="N197" s="58"/>
      <c r="O197" s="58"/>
      <c r="P197" s="58"/>
      <c r="Q197" s="58"/>
    </row>
    <row r="198" spans="14:17" x14ac:dyDescent="0.25">
      <c r="N198" s="58"/>
      <c r="O198" s="58"/>
      <c r="P198" s="58"/>
      <c r="Q198" s="58"/>
    </row>
    <row r="199" spans="14:17" x14ac:dyDescent="0.25">
      <c r="N199" s="58"/>
      <c r="O199" s="58"/>
      <c r="P199" s="58"/>
      <c r="Q199" s="58"/>
    </row>
    <row r="200" spans="14:17" x14ac:dyDescent="0.25">
      <c r="N200" s="58"/>
      <c r="O200" s="58"/>
      <c r="P200" s="58"/>
      <c r="Q200" s="58"/>
    </row>
    <row r="201" spans="14:17" x14ac:dyDescent="0.25">
      <c r="N201" s="58"/>
      <c r="O201" s="58"/>
      <c r="P201" s="58"/>
      <c r="Q201" s="58"/>
    </row>
    <row r="202" spans="14:17" x14ac:dyDescent="0.25">
      <c r="N202" s="58"/>
      <c r="O202" s="58"/>
      <c r="P202" s="58"/>
      <c r="Q202" s="58"/>
    </row>
    <row r="203" spans="14:17" x14ac:dyDescent="0.25">
      <c r="N203" s="58"/>
      <c r="O203" s="58"/>
      <c r="P203" s="58"/>
      <c r="Q203" s="58"/>
    </row>
    <row r="204" spans="14:17" x14ac:dyDescent="0.25">
      <c r="N204" s="58"/>
      <c r="O204" s="58"/>
      <c r="P204" s="58"/>
      <c r="Q204" s="58"/>
    </row>
    <row r="205" spans="14:17" x14ac:dyDescent="0.25">
      <c r="N205" s="58"/>
      <c r="O205" s="58"/>
      <c r="P205" s="58"/>
      <c r="Q205" s="58"/>
    </row>
    <row r="206" spans="14:17" x14ac:dyDescent="0.25">
      <c r="N206" s="58"/>
      <c r="O206" s="58"/>
      <c r="P206" s="58"/>
      <c r="Q206" s="58"/>
    </row>
    <row r="207" spans="14:17" x14ac:dyDescent="0.25">
      <c r="N207" s="58"/>
      <c r="O207" s="58"/>
      <c r="P207" s="58"/>
      <c r="Q207" s="58"/>
    </row>
    <row r="208" spans="14:17" x14ac:dyDescent="0.25">
      <c r="N208" s="58"/>
      <c r="O208" s="58"/>
      <c r="P208" s="58"/>
      <c r="Q208" s="58"/>
    </row>
    <row r="209" spans="14:17" x14ac:dyDescent="0.25">
      <c r="N209" s="58"/>
      <c r="O209" s="58"/>
      <c r="P209" s="58"/>
      <c r="Q209" s="58"/>
    </row>
    <row r="210" spans="14:17" x14ac:dyDescent="0.25">
      <c r="N210" s="58"/>
      <c r="O210" s="58"/>
      <c r="P210" s="58"/>
      <c r="Q210" s="58"/>
    </row>
    <row r="211" spans="14:17" x14ac:dyDescent="0.25">
      <c r="N211" s="58"/>
      <c r="O211" s="58"/>
      <c r="P211" s="58"/>
      <c r="Q211" s="58"/>
    </row>
    <row r="212" spans="14:17" x14ac:dyDescent="0.25">
      <c r="N212" s="58"/>
      <c r="O212" s="58"/>
      <c r="P212" s="58"/>
      <c r="Q212" s="58"/>
    </row>
    <row r="213" spans="14:17" x14ac:dyDescent="0.25">
      <c r="N213" s="58"/>
      <c r="O213" s="58"/>
      <c r="P213" s="58"/>
      <c r="Q213" s="58"/>
    </row>
    <row r="214" spans="14:17" x14ac:dyDescent="0.25">
      <c r="N214" s="58"/>
      <c r="O214" s="58"/>
      <c r="P214" s="58"/>
      <c r="Q214" s="58"/>
    </row>
    <row r="215" spans="14:17" x14ac:dyDescent="0.25">
      <c r="N215" s="58"/>
      <c r="O215" s="58"/>
      <c r="P215" s="58"/>
      <c r="Q215" s="58"/>
    </row>
    <row r="216" spans="14:17" x14ac:dyDescent="0.25">
      <c r="N216" s="58"/>
      <c r="O216" s="58"/>
      <c r="P216" s="58"/>
      <c r="Q216" s="58"/>
    </row>
    <row r="217" spans="14:17" x14ac:dyDescent="0.25">
      <c r="N217" s="58"/>
      <c r="O217" s="58"/>
      <c r="P217" s="58"/>
      <c r="Q217" s="58"/>
    </row>
    <row r="218" spans="14:17" x14ac:dyDescent="0.25">
      <c r="N218" s="58"/>
      <c r="O218" s="58"/>
      <c r="P218" s="58"/>
      <c r="Q218" s="58"/>
    </row>
    <row r="219" spans="14:17" x14ac:dyDescent="0.25">
      <c r="N219" s="58"/>
      <c r="O219" s="58"/>
      <c r="P219" s="58"/>
      <c r="Q219" s="58"/>
    </row>
    <row r="220" spans="14:17" x14ac:dyDescent="0.25">
      <c r="N220" s="58"/>
      <c r="O220" s="58"/>
      <c r="P220" s="58"/>
      <c r="Q220" s="58"/>
    </row>
    <row r="221" spans="14:17" x14ac:dyDescent="0.25">
      <c r="N221" s="58"/>
      <c r="O221" s="58"/>
      <c r="P221" s="58"/>
      <c r="Q221" s="58"/>
    </row>
    <row r="222" spans="14:17" x14ac:dyDescent="0.25">
      <c r="N222" s="58"/>
      <c r="O222" s="58"/>
      <c r="P222" s="58"/>
      <c r="Q222" s="58"/>
    </row>
    <row r="223" spans="14:17" x14ac:dyDescent="0.25">
      <c r="N223" s="58"/>
      <c r="O223" s="58"/>
      <c r="P223" s="58"/>
      <c r="Q223" s="58"/>
    </row>
    <row r="224" spans="14:17" x14ac:dyDescent="0.25">
      <c r="N224" s="58"/>
      <c r="O224" s="58"/>
      <c r="P224" s="58"/>
      <c r="Q224" s="58"/>
    </row>
    <row r="225" spans="14:17" x14ac:dyDescent="0.25">
      <c r="N225" s="58"/>
      <c r="O225" s="58"/>
      <c r="P225" s="58"/>
      <c r="Q225" s="58"/>
    </row>
    <row r="226" spans="14:17" x14ac:dyDescent="0.25">
      <c r="N226" s="58"/>
      <c r="O226" s="58"/>
      <c r="P226" s="58"/>
      <c r="Q226" s="58"/>
    </row>
    <row r="227" spans="14:17" x14ac:dyDescent="0.25">
      <c r="N227" s="58"/>
      <c r="O227" s="58"/>
      <c r="P227" s="58"/>
      <c r="Q227" s="58"/>
    </row>
    <row r="228" spans="14:17" x14ac:dyDescent="0.25">
      <c r="N228" s="58"/>
      <c r="O228" s="58"/>
      <c r="P228" s="58"/>
      <c r="Q228" s="58"/>
    </row>
    <row r="229" spans="14:17" x14ac:dyDescent="0.25">
      <c r="N229" s="58"/>
      <c r="O229" s="58"/>
      <c r="P229" s="58"/>
      <c r="Q229" s="58"/>
    </row>
    <row r="230" spans="14:17" x14ac:dyDescent="0.25">
      <c r="N230" s="58"/>
      <c r="O230" s="58"/>
      <c r="P230" s="58"/>
      <c r="Q230" s="58"/>
    </row>
    <row r="231" spans="14:17" x14ac:dyDescent="0.25">
      <c r="N231" s="58"/>
      <c r="O231" s="58"/>
      <c r="P231" s="58"/>
      <c r="Q231" s="58"/>
    </row>
    <row r="232" spans="14:17" x14ac:dyDescent="0.25">
      <c r="N232" s="58"/>
      <c r="O232" s="58"/>
      <c r="P232" s="58"/>
      <c r="Q232" s="58"/>
    </row>
    <row r="233" spans="14:17" x14ac:dyDescent="0.25">
      <c r="N233" s="58"/>
      <c r="O233" s="58"/>
      <c r="P233" s="58"/>
      <c r="Q233" s="58"/>
    </row>
    <row r="234" spans="14:17" x14ac:dyDescent="0.25">
      <c r="N234" s="58"/>
      <c r="O234" s="58"/>
      <c r="P234" s="58"/>
      <c r="Q234" s="58"/>
    </row>
    <row r="235" spans="14:17" x14ac:dyDescent="0.25">
      <c r="N235" s="58"/>
      <c r="O235" s="58"/>
      <c r="P235" s="58"/>
      <c r="Q235" s="58"/>
    </row>
    <row r="236" spans="14:17" x14ac:dyDescent="0.25">
      <c r="N236" s="58"/>
      <c r="O236" s="58"/>
      <c r="P236" s="58"/>
      <c r="Q236" s="58"/>
    </row>
    <row r="237" spans="14:17" x14ac:dyDescent="0.25">
      <c r="N237" s="58"/>
      <c r="O237" s="58"/>
      <c r="P237" s="58"/>
      <c r="Q237" s="58"/>
    </row>
    <row r="238" spans="14:17" x14ac:dyDescent="0.25">
      <c r="N238" s="58"/>
      <c r="O238" s="58"/>
      <c r="P238" s="58"/>
      <c r="Q238" s="58"/>
    </row>
    <row r="239" spans="14:17" x14ac:dyDescent="0.25">
      <c r="N239" s="58"/>
      <c r="O239" s="58"/>
      <c r="P239" s="58"/>
      <c r="Q239" s="58"/>
    </row>
    <row r="240" spans="14:17" x14ac:dyDescent="0.25">
      <c r="N240" s="58"/>
      <c r="O240" s="58"/>
      <c r="P240" s="58"/>
      <c r="Q240" s="58"/>
    </row>
    <row r="241" spans="14:17" x14ac:dyDescent="0.25">
      <c r="N241" s="58"/>
      <c r="O241" s="58"/>
      <c r="P241" s="58"/>
      <c r="Q241" s="58"/>
    </row>
    <row r="242" spans="14:17" x14ac:dyDescent="0.25">
      <c r="N242" s="58"/>
      <c r="O242" s="58"/>
      <c r="P242" s="58"/>
      <c r="Q242" s="58"/>
    </row>
    <row r="243" spans="14:17" x14ac:dyDescent="0.25">
      <c r="N243" s="58"/>
      <c r="O243" s="58"/>
      <c r="P243" s="58"/>
      <c r="Q243" s="58"/>
    </row>
    <row r="244" spans="14:17" x14ac:dyDescent="0.25">
      <c r="N244" s="58"/>
      <c r="O244" s="58"/>
      <c r="P244" s="58"/>
      <c r="Q244" s="58"/>
    </row>
    <row r="245" spans="14:17" x14ac:dyDescent="0.25">
      <c r="N245" s="58"/>
      <c r="O245" s="58"/>
      <c r="P245" s="58"/>
      <c r="Q245" s="58"/>
    </row>
    <row r="246" spans="14:17" x14ac:dyDescent="0.25">
      <c r="N246" s="58"/>
      <c r="O246" s="58"/>
      <c r="P246" s="58"/>
      <c r="Q246" s="58"/>
    </row>
    <row r="247" spans="14:17" x14ac:dyDescent="0.25">
      <c r="N247" s="58"/>
      <c r="O247" s="58"/>
      <c r="P247" s="58"/>
      <c r="Q247" s="58"/>
    </row>
    <row r="248" spans="14:17" x14ac:dyDescent="0.25">
      <c r="N248" s="58"/>
      <c r="O248" s="58"/>
      <c r="P248" s="58"/>
      <c r="Q248" s="58"/>
    </row>
    <row r="249" spans="14:17" x14ac:dyDescent="0.25">
      <c r="N249" s="58"/>
      <c r="O249" s="58"/>
      <c r="P249" s="58"/>
      <c r="Q249" s="58"/>
    </row>
    <row r="250" spans="14:17" x14ac:dyDescent="0.25">
      <c r="N250" s="58"/>
      <c r="O250" s="58"/>
      <c r="P250" s="58"/>
      <c r="Q250" s="58"/>
    </row>
    <row r="251" spans="14:17" x14ac:dyDescent="0.25">
      <c r="N251" s="58"/>
      <c r="O251" s="58"/>
      <c r="P251" s="58"/>
      <c r="Q251" s="58"/>
    </row>
    <row r="252" spans="14:17" x14ac:dyDescent="0.25">
      <c r="N252" s="58"/>
      <c r="O252" s="58"/>
      <c r="P252" s="58"/>
      <c r="Q252" s="58"/>
    </row>
    <row r="253" spans="14:17" x14ac:dyDescent="0.25">
      <c r="N253" s="58"/>
      <c r="O253" s="58"/>
      <c r="P253" s="58"/>
      <c r="Q253" s="58"/>
    </row>
    <row r="254" spans="14:17" x14ac:dyDescent="0.25">
      <c r="N254" s="58"/>
      <c r="O254" s="58"/>
      <c r="P254" s="58"/>
      <c r="Q254" s="58"/>
    </row>
    <row r="255" spans="14:17" x14ac:dyDescent="0.25">
      <c r="N255" s="58"/>
      <c r="O255" s="58"/>
      <c r="P255" s="58"/>
      <c r="Q255" s="58"/>
    </row>
    <row r="256" spans="14:17" x14ac:dyDescent="0.25">
      <c r="N256" s="58"/>
      <c r="O256" s="58"/>
      <c r="P256" s="58"/>
      <c r="Q256" s="58"/>
    </row>
    <row r="257" spans="14:17" x14ac:dyDescent="0.25">
      <c r="N257" s="58"/>
      <c r="O257" s="58"/>
      <c r="P257" s="58"/>
      <c r="Q257" s="58"/>
    </row>
    <row r="258" spans="14:17" x14ac:dyDescent="0.25">
      <c r="N258" s="58"/>
      <c r="O258" s="58"/>
      <c r="P258" s="58"/>
      <c r="Q258" s="58"/>
    </row>
    <row r="259" spans="14:17" x14ac:dyDescent="0.25">
      <c r="N259" s="58"/>
      <c r="O259" s="58"/>
      <c r="P259" s="58"/>
      <c r="Q259" s="58"/>
    </row>
    <row r="260" spans="14:17" x14ac:dyDescent="0.25">
      <c r="N260" s="58"/>
      <c r="O260" s="58"/>
      <c r="P260" s="58"/>
      <c r="Q260" s="58"/>
    </row>
    <row r="261" spans="14:17" x14ac:dyDescent="0.25">
      <c r="N261" s="58"/>
      <c r="O261" s="58"/>
      <c r="P261" s="58"/>
      <c r="Q261" s="58"/>
    </row>
    <row r="262" spans="14:17" x14ac:dyDescent="0.25">
      <c r="N262" s="58"/>
      <c r="O262" s="58"/>
      <c r="P262" s="58"/>
      <c r="Q262" s="58"/>
    </row>
    <row r="263" spans="14:17" x14ac:dyDescent="0.25">
      <c r="N263" s="58"/>
      <c r="O263" s="58"/>
      <c r="P263" s="58"/>
      <c r="Q263" s="58"/>
    </row>
    <row r="264" spans="14:17" x14ac:dyDescent="0.25">
      <c r="N264" s="58"/>
      <c r="O264" s="58"/>
      <c r="P264" s="58"/>
      <c r="Q264" s="58"/>
    </row>
    <row r="265" spans="14:17" x14ac:dyDescent="0.25">
      <c r="N265" s="58"/>
      <c r="O265" s="58"/>
      <c r="P265" s="58"/>
      <c r="Q265" s="58"/>
    </row>
    <row r="266" spans="14:17" x14ac:dyDescent="0.25">
      <c r="N266" s="58"/>
      <c r="O266" s="58"/>
      <c r="P266" s="58"/>
      <c r="Q266" s="58"/>
    </row>
    <row r="267" spans="14:17" x14ac:dyDescent="0.25">
      <c r="N267" s="58"/>
      <c r="O267" s="58"/>
      <c r="P267" s="58"/>
      <c r="Q267" s="58"/>
    </row>
    <row r="268" spans="14:17" x14ac:dyDescent="0.25">
      <c r="N268" s="58"/>
      <c r="O268" s="58"/>
      <c r="P268" s="58"/>
      <c r="Q268" s="58"/>
    </row>
    <row r="269" spans="14:17" x14ac:dyDescent="0.25">
      <c r="N269" s="58"/>
      <c r="O269" s="58"/>
      <c r="P269" s="58"/>
      <c r="Q269" s="58"/>
    </row>
    <row r="270" spans="14:17" x14ac:dyDescent="0.25">
      <c r="N270" s="58"/>
      <c r="O270" s="58"/>
      <c r="P270" s="58"/>
      <c r="Q270" s="58"/>
    </row>
    <row r="271" spans="14:17" x14ac:dyDescent="0.25">
      <c r="N271" s="58"/>
      <c r="O271" s="58"/>
      <c r="P271" s="58"/>
      <c r="Q271" s="58"/>
    </row>
    <row r="272" spans="14:17" x14ac:dyDescent="0.25">
      <c r="N272" s="58"/>
      <c r="O272" s="58"/>
      <c r="P272" s="58"/>
      <c r="Q272" s="58"/>
    </row>
    <row r="273" spans="14:17" x14ac:dyDescent="0.25">
      <c r="N273" s="58"/>
      <c r="O273" s="58"/>
      <c r="P273" s="58"/>
      <c r="Q273" s="58"/>
    </row>
    <row r="274" spans="14:17" x14ac:dyDescent="0.25">
      <c r="N274" s="58"/>
      <c r="O274" s="58"/>
      <c r="P274" s="58"/>
      <c r="Q274" s="58"/>
    </row>
    <row r="275" spans="14:17" x14ac:dyDescent="0.25">
      <c r="N275" s="58"/>
      <c r="O275" s="58"/>
      <c r="P275" s="58"/>
      <c r="Q275" s="58"/>
    </row>
    <row r="276" spans="14:17" x14ac:dyDescent="0.25">
      <c r="N276" s="58"/>
      <c r="O276" s="58"/>
      <c r="P276" s="58"/>
      <c r="Q276" s="58"/>
    </row>
    <row r="277" spans="14:17" x14ac:dyDescent="0.25">
      <c r="N277" s="58"/>
      <c r="O277" s="58"/>
      <c r="P277" s="58"/>
      <c r="Q277" s="58"/>
    </row>
    <row r="278" spans="14:17" x14ac:dyDescent="0.25">
      <c r="N278" s="58"/>
      <c r="O278" s="58"/>
      <c r="P278" s="58"/>
      <c r="Q278" s="58"/>
    </row>
    <row r="279" spans="14:17" x14ac:dyDescent="0.25">
      <c r="N279" s="58"/>
      <c r="O279" s="58"/>
      <c r="P279" s="58"/>
      <c r="Q279" s="58"/>
    </row>
    <row r="280" spans="14:17" x14ac:dyDescent="0.25">
      <c r="N280" s="58"/>
      <c r="O280" s="58"/>
      <c r="P280" s="58"/>
      <c r="Q280" s="58"/>
    </row>
    <row r="281" spans="14:17" x14ac:dyDescent="0.25">
      <c r="N281" s="58"/>
      <c r="O281" s="58"/>
      <c r="P281" s="58"/>
      <c r="Q281" s="58"/>
    </row>
    <row r="282" spans="14:17" x14ac:dyDescent="0.25">
      <c r="N282" s="58"/>
      <c r="O282" s="58"/>
      <c r="P282" s="58"/>
      <c r="Q282" s="58"/>
    </row>
    <row r="283" spans="14:17" x14ac:dyDescent="0.25">
      <c r="N283" s="58"/>
      <c r="O283" s="58"/>
      <c r="P283" s="58"/>
      <c r="Q283" s="58"/>
    </row>
    <row r="284" spans="14:17" x14ac:dyDescent="0.25">
      <c r="N284" s="58"/>
      <c r="O284" s="58"/>
      <c r="P284" s="58"/>
      <c r="Q284" s="58"/>
    </row>
    <row r="285" spans="14:17" x14ac:dyDescent="0.25">
      <c r="N285" s="58"/>
      <c r="O285" s="58"/>
      <c r="P285" s="58"/>
      <c r="Q285" s="58"/>
    </row>
    <row r="286" spans="14:17" x14ac:dyDescent="0.25">
      <c r="N286" s="58"/>
      <c r="O286" s="58"/>
      <c r="P286" s="58"/>
      <c r="Q286" s="58"/>
    </row>
    <row r="287" spans="14:17" x14ac:dyDescent="0.25">
      <c r="N287" s="58"/>
      <c r="O287" s="58"/>
      <c r="P287" s="58"/>
      <c r="Q287" s="58"/>
    </row>
    <row r="288" spans="14:17" x14ac:dyDescent="0.25">
      <c r="N288" s="58"/>
      <c r="O288" s="58"/>
      <c r="P288" s="58"/>
      <c r="Q288" s="58"/>
    </row>
    <row r="289" spans="14:17" x14ac:dyDescent="0.25">
      <c r="N289" s="58"/>
      <c r="O289" s="58"/>
      <c r="P289" s="58"/>
      <c r="Q289" s="58"/>
    </row>
    <row r="290" spans="14:17" x14ac:dyDescent="0.25">
      <c r="N290" s="58"/>
      <c r="O290" s="58"/>
      <c r="P290" s="58"/>
      <c r="Q290" s="58"/>
    </row>
    <row r="291" spans="14:17" x14ac:dyDescent="0.25">
      <c r="N291" s="58"/>
      <c r="O291" s="58"/>
      <c r="P291" s="58"/>
      <c r="Q291" s="58"/>
    </row>
    <row r="292" spans="14:17" x14ac:dyDescent="0.25">
      <c r="N292" s="58"/>
      <c r="O292" s="58"/>
      <c r="P292" s="58"/>
      <c r="Q292" s="58"/>
    </row>
    <row r="293" spans="14:17" x14ac:dyDescent="0.25">
      <c r="N293" s="58"/>
      <c r="O293" s="58"/>
      <c r="P293" s="58"/>
      <c r="Q293" s="58"/>
    </row>
    <row r="294" spans="14:17" x14ac:dyDescent="0.25">
      <c r="N294" s="58"/>
      <c r="O294" s="58"/>
      <c r="P294" s="58"/>
      <c r="Q294" s="58"/>
    </row>
    <row r="295" spans="14:17" x14ac:dyDescent="0.25">
      <c r="N295" s="58"/>
      <c r="O295" s="58"/>
      <c r="P295" s="58"/>
      <c r="Q295" s="58"/>
    </row>
    <row r="296" spans="14:17" x14ac:dyDescent="0.25">
      <c r="N296" s="58"/>
      <c r="O296" s="58"/>
      <c r="P296" s="58"/>
      <c r="Q296" s="58"/>
    </row>
    <row r="297" spans="14:17" x14ac:dyDescent="0.25">
      <c r="N297" s="58"/>
      <c r="O297" s="58"/>
      <c r="P297" s="58"/>
      <c r="Q297" s="58"/>
    </row>
    <row r="298" spans="14:17" x14ac:dyDescent="0.25">
      <c r="N298" s="58"/>
      <c r="O298" s="58"/>
      <c r="P298" s="58"/>
      <c r="Q298" s="58"/>
    </row>
    <row r="299" spans="14:17" x14ac:dyDescent="0.25">
      <c r="N299" s="58"/>
      <c r="O299" s="58"/>
      <c r="P299" s="58"/>
      <c r="Q299" s="58"/>
    </row>
    <row r="300" spans="14:17" x14ac:dyDescent="0.25">
      <c r="N300" s="58"/>
      <c r="O300" s="58"/>
      <c r="P300" s="58"/>
      <c r="Q300" s="58"/>
    </row>
    <row r="301" spans="14:17" x14ac:dyDescent="0.25">
      <c r="N301" s="58"/>
      <c r="O301" s="58"/>
      <c r="P301" s="58"/>
      <c r="Q301" s="58"/>
    </row>
    <row r="302" spans="14:17" x14ac:dyDescent="0.25">
      <c r="N302" s="58"/>
      <c r="O302" s="58"/>
      <c r="P302" s="58"/>
      <c r="Q302" s="58"/>
    </row>
    <row r="303" spans="14:17" x14ac:dyDescent="0.25">
      <c r="N303" s="58"/>
      <c r="O303" s="58"/>
      <c r="P303" s="58"/>
      <c r="Q303" s="58"/>
    </row>
    <row r="304" spans="14:17" x14ac:dyDescent="0.25">
      <c r="N304" s="58"/>
      <c r="O304" s="58"/>
      <c r="P304" s="58"/>
      <c r="Q304" s="58"/>
    </row>
    <row r="305" spans="14:17" x14ac:dyDescent="0.25">
      <c r="N305" s="58"/>
      <c r="O305" s="58"/>
      <c r="P305" s="58"/>
      <c r="Q305" s="58"/>
    </row>
    <row r="306" spans="14:17" x14ac:dyDescent="0.25">
      <c r="N306" s="58"/>
      <c r="O306" s="58"/>
      <c r="P306" s="58"/>
      <c r="Q306" s="58"/>
    </row>
    <row r="307" spans="14:17" x14ac:dyDescent="0.25">
      <c r="N307" s="58"/>
      <c r="O307" s="58"/>
      <c r="P307" s="58"/>
      <c r="Q307" s="58"/>
    </row>
    <row r="308" spans="14:17" x14ac:dyDescent="0.25">
      <c r="N308" s="58"/>
      <c r="O308" s="58"/>
      <c r="P308" s="58"/>
      <c r="Q308" s="58"/>
    </row>
    <row r="309" spans="14:17" x14ac:dyDescent="0.25">
      <c r="N309" s="58"/>
      <c r="O309" s="58"/>
      <c r="P309" s="58"/>
      <c r="Q309" s="58"/>
    </row>
    <row r="310" spans="14:17" x14ac:dyDescent="0.25">
      <c r="N310" s="58"/>
      <c r="O310" s="58"/>
      <c r="P310" s="58"/>
      <c r="Q310" s="58"/>
    </row>
    <row r="311" spans="14:17" x14ac:dyDescent="0.25">
      <c r="N311" s="58"/>
      <c r="O311" s="58"/>
      <c r="P311" s="58"/>
      <c r="Q311" s="58"/>
    </row>
    <row r="312" spans="14:17" x14ac:dyDescent="0.25">
      <c r="N312" s="58"/>
      <c r="O312" s="58"/>
      <c r="P312" s="58"/>
      <c r="Q312" s="58"/>
    </row>
    <row r="313" spans="14:17" x14ac:dyDescent="0.25">
      <c r="N313" s="58"/>
      <c r="O313" s="58"/>
      <c r="P313" s="58"/>
      <c r="Q313" s="58"/>
    </row>
    <row r="314" spans="14:17" x14ac:dyDescent="0.25">
      <c r="N314" s="58"/>
      <c r="O314" s="58"/>
      <c r="P314" s="58"/>
      <c r="Q314" s="58"/>
    </row>
    <row r="315" spans="14:17" x14ac:dyDescent="0.25">
      <c r="N315" s="58"/>
      <c r="O315" s="58"/>
      <c r="P315" s="58"/>
      <c r="Q315" s="58"/>
    </row>
    <row r="316" spans="14:17" x14ac:dyDescent="0.25">
      <c r="N316" s="58"/>
      <c r="O316" s="58"/>
      <c r="P316" s="58"/>
      <c r="Q316" s="58"/>
    </row>
    <row r="317" spans="14:17" x14ac:dyDescent="0.25">
      <c r="N317" s="58"/>
      <c r="O317" s="58"/>
      <c r="P317" s="58"/>
      <c r="Q317" s="58"/>
    </row>
    <row r="318" spans="14:17" x14ac:dyDescent="0.25">
      <c r="N318" s="58"/>
      <c r="O318" s="58"/>
      <c r="P318" s="58"/>
      <c r="Q318" s="58"/>
    </row>
    <row r="319" spans="14:17" x14ac:dyDescent="0.25">
      <c r="N319" s="58"/>
      <c r="O319" s="58"/>
      <c r="P319" s="58"/>
      <c r="Q319" s="58"/>
    </row>
    <row r="320" spans="14:17" x14ac:dyDescent="0.25">
      <c r="N320" s="58"/>
      <c r="O320" s="58"/>
      <c r="P320" s="58"/>
      <c r="Q320" s="58"/>
    </row>
    <row r="321" spans="14:17" x14ac:dyDescent="0.25">
      <c r="N321" s="58"/>
      <c r="O321" s="58"/>
      <c r="P321" s="58"/>
      <c r="Q321" s="58"/>
    </row>
    <row r="322" spans="14:17" x14ac:dyDescent="0.25">
      <c r="N322" s="58"/>
      <c r="O322" s="58"/>
      <c r="P322" s="58"/>
      <c r="Q322" s="58"/>
    </row>
    <row r="323" spans="14:17" x14ac:dyDescent="0.25">
      <c r="N323" s="58"/>
      <c r="O323" s="58"/>
      <c r="P323" s="58"/>
      <c r="Q323" s="58"/>
    </row>
    <row r="324" spans="14:17" x14ac:dyDescent="0.25">
      <c r="N324" s="58"/>
      <c r="O324" s="58"/>
      <c r="P324" s="58"/>
      <c r="Q324" s="58"/>
    </row>
    <row r="325" spans="14:17" x14ac:dyDescent="0.25">
      <c r="N325" s="58"/>
      <c r="O325" s="58"/>
      <c r="P325" s="58"/>
      <c r="Q325" s="58"/>
    </row>
    <row r="326" spans="14:17" x14ac:dyDescent="0.25">
      <c r="N326" s="58"/>
      <c r="O326" s="58"/>
      <c r="P326" s="58"/>
      <c r="Q326" s="58"/>
    </row>
    <row r="327" spans="14:17" x14ac:dyDescent="0.25">
      <c r="N327" s="58"/>
      <c r="O327" s="58"/>
      <c r="P327" s="58"/>
      <c r="Q327" s="58"/>
    </row>
    <row r="328" spans="14:17" x14ac:dyDescent="0.25">
      <c r="N328" s="58"/>
      <c r="O328" s="58"/>
      <c r="P328" s="58"/>
      <c r="Q328" s="58"/>
    </row>
    <row r="329" spans="14:17" x14ac:dyDescent="0.25">
      <c r="N329" s="58"/>
      <c r="O329" s="58"/>
      <c r="P329" s="58"/>
      <c r="Q329" s="58"/>
    </row>
    <row r="330" spans="14:17" x14ac:dyDescent="0.25">
      <c r="N330" s="58"/>
      <c r="O330" s="58"/>
      <c r="P330" s="58"/>
      <c r="Q330" s="58"/>
    </row>
    <row r="331" spans="14:17" x14ac:dyDescent="0.25">
      <c r="N331" s="58"/>
      <c r="O331" s="58"/>
      <c r="P331" s="58"/>
      <c r="Q331" s="58"/>
    </row>
    <row r="332" spans="14:17" x14ac:dyDescent="0.25">
      <c r="N332" s="58"/>
      <c r="O332" s="58"/>
      <c r="P332" s="58"/>
      <c r="Q332" s="58"/>
    </row>
    <row r="333" spans="14:17" x14ac:dyDescent="0.25">
      <c r="N333" s="58"/>
      <c r="O333" s="58"/>
      <c r="P333" s="58"/>
      <c r="Q333" s="58"/>
    </row>
    <row r="334" spans="14:17" x14ac:dyDescent="0.25">
      <c r="N334" s="58"/>
      <c r="O334" s="58"/>
      <c r="P334" s="58"/>
      <c r="Q334" s="58"/>
    </row>
    <row r="335" spans="14:17" x14ac:dyDescent="0.25">
      <c r="N335" s="58"/>
      <c r="O335" s="58"/>
      <c r="P335" s="58"/>
      <c r="Q335" s="58"/>
    </row>
    <row r="336" spans="14:17" x14ac:dyDescent="0.25">
      <c r="N336" s="58"/>
      <c r="O336" s="58"/>
      <c r="P336" s="58"/>
      <c r="Q336" s="58"/>
    </row>
    <row r="337" spans="14:17" x14ac:dyDescent="0.25">
      <c r="N337" s="58"/>
      <c r="O337" s="58"/>
      <c r="P337" s="58"/>
      <c r="Q337" s="58"/>
    </row>
    <row r="338" spans="14:17" x14ac:dyDescent="0.25">
      <c r="N338" s="58"/>
      <c r="O338" s="58"/>
      <c r="P338" s="58"/>
      <c r="Q338" s="58"/>
    </row>
    <row r="339" spans="14:17" x14ac:dyDescent="0.25">
      <c r="N339" s="58"/>
      <c r="O339" s="58"/>
      <c r="P339" s="58"/>
      <c r="Q339" s="58"/>
    </row>
    <row r="340" spans="14:17" x14ac:dyDescent="0.25">
      <c r="N340" s="58"/>
      <c r="O340" s="58"/>
      <c r="P340" s="58"/>
      <c r="Q340" s="58"/>
    </row>
    <row r="341" spans="14:17" x14ac:dyDescent="0.25">
      <c r="N341" s="58"/>
      <c r="O341" s="58"/>
      <c r="P341" s="58"/>
      <c r="Q341" s="58"/>
    </row>
    <row r="342" spans="14:17" x14ac:dyDescent="0.25">
      <c r="N342" s="58"/>
      <c r="O342" s="58"/>
      <c r="P342" s="58"/>
      <c r="Q342" s="58"/>
    </row>
    <row r="343" spans="14:17" x14ac:dyDescent="0.25">
      <c r="N343" s="58"/>
      <c r="O343" s="58"/>
      <c r="P343" s="58"/>
      <c r="Q343" s="58"/>
    </row>
    <row r="344" spans="14:17" x14ac:dyDescent="0.25">
      <c r="N344" s="58"/>
      <c r="O344" s="58"/>
      <c r="P344" s="58"/>
      <c r="Q344" s="58"/>
    </row>
    <row r="345" spans="14:17" x14ac:dyDescent="0.25">
      <c r="N345" s="58"/>
      <c r="O345" s="58"/>
      <c r="P345" s="58"/>
      <c r="Q345" s="58"/>
    </row>
    <row r="346" spans="14:17" x14ac:dyDescent="0.25">
      <c r="N346" s="58"/>
      <c r="O346" s="58"/>
      <c r="P346" s="58"/>
      <c r="Q346" s="58"/>
    </row>
    <row r="347" spans="14:17" x14ac:dyDescent="0.25">
      <c r="N347" s="58"/>
      <c r="O347" s="58"/>
      <c r="P347" s="58"/>
      <c r="Q347" s="58"/>
    </row>
    <row r="348" spans="14:17" x14ac:dyDescent="0.25">
      <c r="N348" s="58"/>
      <c r="O348" s="58"/>
      <c r="P348" s="58"/>
      <c r="Q348" s="58"/>
    </row>
    <row r="349" spans="14:17" x14ac:dyDescent="0.25">
      <c r="N349" s="58"/>
      <c r="O349" s="58"/>
      <c r="P349" s="58"/>
      <c r="Q349" s="58"/>
    </row>
    <row r="350" spans="14:17" x14ac:dyDescent="0.25">
      <c r="N350" s="58"/>
      <c r="O350" s="58"/>
      <c r="P350" s="58"/>
      <c r="Q350" s="58"/>
    </row>
    <row r="351" spans="14:17" x14ac:dyDescent="0.25">
      <c r="N351" s="58"/>
      <c r="O351" s="58"/>
      <c r="P351" s="58"/>
      <c r="Q351" s="58"/>
    </row>
    <row r="352" spans="14:17" x14ac:dyDescent="0.25">
      <c r="N352" s="58"/>
      <c r="O352" s="58"/>
      <c r="P352" s="58"/>
      <c r="Q352" s="58"/>
    </row>
    <row r="353" spans="14:17" x14ac:dyDescent="0.25">
      <c r="N353" s="58"/>
      <c r="O353" s="58"/>
      <c r="P353" s="58"/>
      <c r="Q353" s="58"/>
    </row>
    <row r="354" spans="14:17" x14ac:dyDescent="0.25">
      <c r="N354" s="58"/>
      <c r="O354" s="58"/>
      <c r="P354" s="58"/>
      <c r="Q354" s="58"/>
    </row>
    <row r="355" spans="14:17" x14ac:dyDescent="0.25">
      <c r="N355" s="58"/>
      <c r="O355" s="58"/>
      <c r="P355" s="58"/>
      <c r="Q355" s="58"/>
    </row>
    <row r="356" spans="14:17" x14ac:dyDescent="0.25">
      <c r="N356" s="58"/>
      <c r="O356" s="58"/>
      <c r="P356" s="58"/>
      <c r="Q356" s="58"/>
    </row>
    <row r="357" spans="14:17" x14ac:dyDescent="0.25">
      <c r="N357" s="58"/>
      <c r="O357" s="58"/>
      <c r="P357" s="58"/>
      <c r="Q357" s="58"/>
    </row>
    <row r="358" spans="14:17" x14ac:dyDescent="0.25">
      <c r="N358" s="58"/>
      <c r="O358" s="58"/>
      <c r="P358" s="58"/>
      <c r="Q358" s="58"/>
    </row>
    <row r="359" spans="14:17" x14ac:dyDescent="0.25">
      <c r="N359" s="58"/>
      <c r="O359" s="58"/>
      <c r="P359" s="58"/>
      <c r="Q359" s="58"/>
    </row>
    <row r="360" spans="14:17" x14ac:dyDescent="0.25">
      <c r="N360" s="58"/>
      <c r="O360" s="58"/>
      <c r="P360" s="58"/>
      <c r="Q360" s="58"/>
    </row>
    <row r="361" spans="14:17" x14ac:dyDescent="0.25">
      <c r="N361" s="58"/>
      <c r="O361" s="58"/>
      <c r="P361" s="58"/>
      <c r="Q361" s="58"/>
    </row>
    <row r="362" spans="14:17" x14ac:dyDescent="0.25">
      <c r="N362" s="58"/>
      <c r="O362" s="58"/>
      <c r="P362" s="58"/>
      <c r="Q362" s="58"/>
    </row>
    <row r="363" spans="14:17" x14ac:dyDescent="0.25">
      <c r="N363" s="58"/>
      <c r="O363" s="58"/>
      <c r="P363" s="58"/>
      <c r="Q363" s="58"/>
    </row>
    <row r="364" spans="14:17" x14ac:dyDescent="0.25">
      <c r="N364" s="58"/>
      <c r="O364" s="58"/>
      <c r="P364" s="58"/>
      <c r="Q364" s="58"/>
    </row>
    <row r="365" spans="14:17" x14ac:dyDescent="0.25">
      <c r="N365" s="58"/>
      <c r="O365" s="58"/>
      <c r="P365" s="58"/>
      <c r="Q365" s="58"/>
    </row>
    <row r="366" spans="14:17" x14ac:dyDescent="0.25">
      <c r="N366" s="58"/>
      <c r="O366" s="58"/>
      <c r="P366" s="58"/>
      <c r="Q366" s="58"/>
    </row>
    <row r="367" spans="14:17" x14ac:dyDescent="0.25">
      <c r="N367" s="58"/>
      <c r="O367" s="58"/>
      <c r="P367" s="58"/>
      <c r="Q367" s="58"/>
    </row>
    <row r="368" spans="14:17" x14ac:dyDescent="0.25">
      <c r="N368" s="58"/>
      <c r="O368" s="58"/>
      <c r="P368" s="58"/>
      <c r="Q368" s="58"/>
    </row>
    <row r="369" spans="14:17" x14ac:dyDescent="0.25">
      <c r="N369" s="58"/>
      <c r="O369" s="58"/>
      <c r="P369" s="58"/>
      <c r="Q369" s="58"/>
    </row>
    <row r="370" spans="14:17" x14ac:dyDescent="0.25">
      <c r="N370" s="58"/>
      <c r="O370" s="58"/>
      <c r="P370" s="58"/>
      <c r="Q370" s="58"/>
    </row>
    <row r="371" spans="14:17" x14ac:dyDescent="0.25">
      <c r="N371" s="58"/>
      <c r="O371" s="58"/>
      <c r="P371" s="58"/>
      <c r="Q371" s="58"/>
    </row>
    <row r="372" spans="14:17" x14ac:dyDescent="0.25">
      <c r="N372" s="58"/>
      <c r="O372" s="58"/>
      <c r="P372" s="58"/>
      <c r="Q372" s="58"/>
    </row>
    <row r="373" spans="14:17" x14ac:dyDescent="0.25">
      <c r="N373" s="58"/>
      <c r="O373" s="58"/>
      <c r="P373" s="58"/>
      <c r="Q373" s="58"/>
    </row>
    <row r="374" spans="14:17" x14ac:dyDescent="0.25">
      <c r="N374" s="58"/>
      <c r="O374" s="58"/>
      <c r="P374" s="58"/>
      <c r="Q374" s="58"/>
    </row>
    <row r="375" spans="14:17" x14ac:dyDescent="0.25">
      <c r="N375" s="58"/>
      <c r="O375" s="58"/>
      <c r="P375" s="58"/>
      <c r="Q375" s="58"/>
    </row>
    <row r="376" spans="14:17" x14ac:dyDescent="0.25">
      <c r="N376" s="58"/>
      <c r="O376" s="58"/>
      <c r="P376" s="58"/>
      <c r="Q376" s="58"/>
    </row>
    <row r="377" spans="14:17" x14ac:dyDescent="0.25">
      <c r="N377" s="58"/>
      <c r="O377" s="58"/>
      <c r="P377" s="58"/>
      <c r="Q377" s="58"/>
    </row>
    <row r="378" spans="14:17" x14ac:dyDescent="0.25">
      <c r="N378" s="58"/>
      <c r="O378" s="58"/>
      <c r="P378" s="58"/>
      <c r="Q378" s="58"/>
    </row>
    <row r="379" spans="14:17" x14ac:dyDescent="0.25">
      <c r="N379" s="58"/>
      <c r="O379" s="58"/>
      <c r="P379" s="58"/>
      <c r="Q379" s="58"/>
    </row>
    <row r="380" spans="14:17" x14ac:dyDescent="0.25">
      <c r="N380" s="58"/>
      <c r="O380" s="58"/>
      <c r="P380" s="58"/>
      <c r="Q380" s="58"/>
    </row>
    <row r="381" spans="14:17" x14ac:dyDescent="0.25">
      <c r="N381" s="58"/>
      <c r="O381" s="58"/>
      <c r="P381" s="58"/>
      <c r="Q381" s="58"/>
    </row>
    <row r="382" spans="14:17" x14ac:dyDescent="0.25">
      <c r="N382" s="58"/>
      <c r="O382" s="58"/>
      <c r="P382" s="58"/>
      <c r="Q382" s="58"/>
    </row>
    <row r="383" spans="14:17" x14ac:dyDescent="0.25">
      <c r="N383" s="58"/>
      <c r="O383" s="58"/>
      <c r="P383" s="58"/>
      <c r="Q383" s="58"/>
    </row>
    <row r="384" spans="14:17" x14ac:dyDescent="0.25">
      <c r="N384" s="58"/>
      <c r="O384" s="58"/>
      <c r="P384" s="58"/>
      <c r="Q384" s="58"/>
    </row>
    <row r="385" spans="14:17" x14ac:dyDescent="0.25">
      <c r="N385" s="58"/>
      <c r="O385" s="58"/>
      <c r="P385" s="58"/>
      <c r="Q385" s="58"/>
    </row>
    <row r="386" spans="14:17" x14ac:dyDescent="0.25">
      <c r="N386" s="58"/>
      <c r="O386" s="58"/>
      <c r="P386" s="58"/>
      <c r="Q386" s="58"/>
    </row>
    <row r="387" spans="14:17" x14ac:dyDescent="0.25">
      <c r="N387" s="58"/>
      <c r="O387" s="58"/>
      <c r="P387" s="58"/>
      <c r="Q387" s="58"/>
    </row>
    <row r="388" spans="14:17" x14ac:dyDescent="0.25">
      <c r="N388" s="58"/>
      <c r="O388" s="58"/>
      <c r="P388" s="58"/>
      <c r="Q388" s="58"/>
    </row>
    <row r="389" spans="14:17" x14ac:dyDescent="0.25">
      <c r="N389" s="58"/>
      <c r="O389" s="58"/>
      <c r="P389" s="58"/>
      <c r="Q389" s="58"/>
    </row>
    <row r="390" spans="14:17" x14ac:dyDescent="0.25">
      <c r="N390" s="58"/>
      <c r="O390" s="58"/>
      <c r="P390" s="58"/>
      <c r="Q390" s="58"/>
    </row>
    <row r="391" spans="14:17" x14ac:dyDescent="0.25">
      <c r="N391" s="58"/>
      <c r="O391" s="58"/>
      <c r="P391" s="58"/>
      <c r="Q391" s="58"/>
    </row>
    <row r="392" spans="14:17" x14ac:dyDescent="0.25">
      <c r="N392" s="58"/>
      <c r="O392" s="58"/>
      <c r="P392" s="58"/>
      <c r="Q392" s="58"/>
    </row>
    <row r="393" spans="14:17" x14ac:dyDescent="0.25">
      <c r="N393" s="58"/>
      <c r="O393" s="58"/>
      <c r="P393" s="58"/>
      <c r="Q393" s="58"/>
    </row>
    <row r="394" spans="14:17" x14ac:dyDescent="0.25">
      <c r="N394" s="58"/>
      <c r="O394" s="58"/>
      <c r="P394" s="58"/>
      <c r="Q394" s="58"/>
    </row>
    <row r="395" spans="14:17" x14ac:dyDescent="0.25">
      <c r="N395" s="58"/>
      <c r="O395" s="58"/>
      <c r="P395" s="58"/>
      <c r="Q395" s="58"/>
    </row>
    <row r="396" spans="14:17" x14ac:dyDescent="0.25">
      <c r="N396" s="58"/>
      <c r="O396" s="58"/>
      <c r="P396" s="58"/>
      <c r="Q396" s="58"/>
    </row>
    <row r="397" spans="14:17" x14ac:dyDescent="0.25">
      <c r="N397" s="58"/>
      <c r="O397" s="58"/>
      <c r="P397" s="58"/>
      <c r="Q397" s="58"/>
    </row>
    <row r="398" spans="14:17" x14ac:dyDescent="0.25">
      <c r="N398" s="58"/>
      <c r="O398" s="58"/>
      <c r="P398" s="58"/>
      <c r="Q398" s="58"/>
    </row>
    <row r="399" spans="14:17" x14ac:dyDescent="0.25">
      <c r="N399" s="58"/>
      <c r="O399" s="58"/>
      <c r="P399" s="58"/>
      <c r="Q399" s="58"/>
    </row>
    <row r="400" spans="14:17" x14ac:dyDescent="0.25">
      <c r="N400" s="58"/>
      <c r="O400" s="58"/>
      <c r="P400" s="58"/>
      <c r="Q400" s="58"/>
    </row>
    <row r="401" spans="14:17" x14ac:dyDescent="0.25">
      <c r="N401" s="58"/>
      <c r="O401" s="58"/>
      <c r="P401" s="58"/>
      <c r="Q401" s="58"/>
    </row>
    <row r="402" spans="14:17" x14ac:dyDescent="0.25">
      <c r="N402" s="58"/>
      <c r="O402" s="58"/>
      <c r="P402" s="58"/>
      <c r="Q402" s="58"/>
    </row>
    <row r="403" spans="14:17" x14ac:dyDescent="0.25">
      <c r="N403" s="58"/>
      <c r="O403" s="58"/>
      <c r="P403" s="58"/>
      <c r="Q403" s="58"/>
    </row>
    <row r="404" spans="14:17" x14ac:dyDescent="0.25">
      <c r="N404" s="58"/>
      <c r="O404" s="58"/>
      <c r="P404" s="58"/>
      <c r="Q404" s="58"/>
    </row>
    <row r="405" spans="14:17" x14ac:dyDescent="0.25">
      <c r="N405" s="58"/>
      <c r="O405" s="58"/>
      <c r="P405" s="58"/>
      <c r="Q405" s="58"/>
    </row>
    <row r="406" spans="14:17" x14ac:dyDescent="0.25">
      <c r="N406" s="58"/>
      <c r="O406" s="58"/>
      <c r="P406" s="58"/>
      <c r="Q406" s="58"/>
    </row>
    <row r="407" spans="14:17" x14ac:dyDescent="0.25">
      <c r="N407" s="58"/>
      <c r="O407" s="58"/>
      <c r="P407" s="58"/>
      <c r="Q407" s="58"/>
    </row>
    <row r="408" spans="14:17" x14ac:dyDescent="0.25">
      <c r="N408" s="58"/>
      <c r="O408" s="58"/>
      <c r="P408" s="58"/>
      <c r="Q408" s="58"/>
    </row>
    <row r="409" spans="14:17" x14ac:dyDescent="0.25">
      <c r="N409" s="58"/>
      <c r="O409" s="58"/>
      <c r="P409" s="58"/>
      <c r="Q409" s="58"/>
    </row>
    <row r="410" spans="14:17" x14ac:dyDescent="0.25">
      <c r="N410" s="58"/>
      <c r="O410" s="58"/>
      <c r="P410" s="58"/>
      <c r="Q410" s="58"/>
    </row>
    <row r="411" spans="14:17" x14ac:dyDescent="0.25">
      <c r="N411" s="58"/>
      <c r="O411" s="58"/>
      <c r="P411" s="58"/>
      <c r="Q411" s="58"/>
    </row>
    <row r="412" spans="14:17" x14ac:dyDescent="0.25">
      <c r="N412" s="58"/>
      <c r="O412" s="58"/>
      <c r="P412" s="58"/>
      <c r="Q412" s="58"/>
    </row>
    <row r="413" spans="14:17" x14ac:dyDescent="0.25">
      <c r="N413" s="58"/>
      <c r="O413" s="58"/>
      <c r="P413" s="58"/>
      <c r="Q413" s="58"/>
    </row>
    <row r="414" spans="14:17" x14ac:dyDescent="0.25">
      <c r="N414" s="58"/>
      <c r="O414" s="58"/>
      <c r="P414" s="58"/>
      <c r="Q414" s="58"/>
    </row>
    <row r="415" spans="14:17" x14ac:dyDescent="0.25">
      <c r="N415" s="58"/>
      <c r="O415" s="58"/>
      <c r="P415" s="58"/>
      <c r="Q415" s="58"/>
    </row>
    <row r="416" spans="14:17" x14ac:dyDescent="0.25">
      <c r="N416" s="58"/>
      <c r="O416" s="58"/>
      <c r="P416" s="58"/>
      <c r="Q416" s="58"/>
    </row>
    <row r="417" spans="14:17" x14ac:dyDescent="0.25">
      <c r="N417" s="58"/>
      <c r="O417" s="58"/>
      <c r="P417" s="58"/>
      <c r="Q417" s="58"/>
    </row>
    <row r="418" spans="14:17" x14ac:dyDescent="0.25">
      <c r="N418" s="58"/>
      <c r="O418" s="58"/>
      <c r="P418" s="58"/>
      <c r="Q418" s="58"/>
    </row>
    <row r="419" spans="14:17" x14ac:dyDescent="0.25">
      <c r="N419" s="58"/>
      <c r="O419" s="58"/>
      <c r="P419" s="58"/>
      <c r="Q419" s="58"/>
    </row>
    <row r="420" spans="14:17" x14ac:dyDescent="0.25">
      <c r="N420" s="58"/>
      <c r="O420" s="58"/>
      <c r="P420" s="58"/>
      <c r="Q420" s="58"/>
    </row>
    <row r="421" spans="14:17" x14ac:dyDescent="0.25">
      <c r="N421" s="58"/>
      <c r="O421" s="58"/>
      <c r="P421" s="58"/>
      <c r="Q421" s="58"/>
    </row>
    <row r="422" spans="14:17" x14ac:dyDescent="0.25">
      <c r="N422" s="58"/>
      <c r="O422" s="58"/>
      <c r="P422" s="58"/>
      <c r="Q422" s="58"/>
    </row>
    <row r="423" spans="14:17" x14ac:dyDescent="0.25">
      <c r="N423" s="58"/>
      <c r="O423" s="58"/>
      <c r="P423" s="58"/>
      <c r="Q423" s="58"/>
    </row>
    <row r="424" spans="14:17" x14ac:dyDescent="0.25">
      <c r="N424" s="58"/>
      <c r="O424" s="58"/>
      <c r="P424" s="58"/>
      <c r="Q424" s="58"/>
    </row>
    <row r="425" spans="14:17" x14ac:dyDescent="0.25">
      <c r="N425" s="58"/>
      <c r="O425" s="58"/>
      <c r="P425" s="58"/>
      <c r="Q425" s="58"/>
    </row>
    <row r="426" spans="14:17" x14ac:dyDescent="0.25">
      <c r="N426" s="58"/>
      <c r="O426" s="58"/>
      <c r="P426" s="58"/>
      <c r="Q426" s="58"/>
    </row>
    <row r="427" spans="14:17" x14ac:dyDescent="0.25">
      <c r="N427" s="58"/>
      <c r="O427" s="58"/>
      <c r="P427" s="58"/>
      <c r="Q427" s="58"/>
    </row>
    <row r="428" spans="14:17" x14ac:dyDescent="0.25">
      <c r="N428" s="58"/>
      <c r="O428" s="58"/>
      <c r="P428" s="58"/>
      <c r="Q428" s="58"/>
    </row>
    <row r="429" spans="14:17" x14ac:dyDescent="0.25">
      <c r="N429" s="58"/>
      <c r="O429" s="58"/>
      <c r="P429" s="58"/>
      <c r="Q429" s="58"/>
    </row>
    <row r="430" spans="14:17" x14ac:dyDescent="0.25">
      <c r="N430" s="58"/>
      <c r="O430" s="58"/>
      <c r="P430" s="58"/>
      <c r="Q430" s="58"/>
    </row>
    <row r="431" spans="14:17" x14ac:dyDescent="0.25">
      <c r="N431" s="58"/>
      <c r="O431" s="58"/>
      <c r="P431" s="58"/>
      <c r="Q431" s="58"/>
    </row>
    <row r="432" spans="14:17" x14ac:dyDescent="0.25">
      <c r="N432" s="58"/>
      <c r="O432" s="58"/>
      <c r="P432" s="58"/>
      <c r="Q432" s="58"/>
    </row>
    <row r="433" spans="14:17" x14ac:dyDescent="0.25">
      <c r="N433" s="58"/>
      <c r="O433" s="58"/>
      <c r="P433" s="58"/>
      <c r="Q433" s="58"/>
    </row>
    <row r="434" spans="14:17" x14ac:dyDescent="0.25">
      <c r="N434" s="58"/>
      <c r="O434" s="58"/>
      <c r="P434" s="58"/>
      <c r="Q434" s="58"/>
    </row>
    <row r="435" spans="14:17" x14ac:dyDescent="0.25">
      <c r="N435" s="58"/>
      <c r="O435" s="58"/>
      <c r="P435" s="58"/>
      <c r="Q435" s="58"/>
    </row>
    <row r="436" spans="14:17" x14ac:dyDescent="0.25">
      <c r="N436" s="58"/>
      <c r="O436" s="58"/>
      <c r="P436" s="58"/>
      <c r="Q436" s="58"/>
    </row>
    <row r="437" spans="14:17" x14ac:dyDescent="0.25">
      <c r="N437" s="58"/>
      <c r="O437" s="58"/>
      <c r="P437" s="58"/>
      <c r="Q437" s="58"/>
    </row>
    <row r="438" spans="14:17" x14ac:dyDescent="0.25">
      <c r="N438" s="58"/>
      <c r="O438" s="58"/>
      <c r="P438" s="58"/>
      <c r="Q438" s="58"/>
    </row>
    <row r="439" spans="14:17" x14ac:dyDescent="0.25">
      <c r="N439" s="58"/>
      <c r="O439" s="58"/>
      <c r="P439" s="58"/>
      <c r="Q439" s="58"/>
    </row>
    <row r="440" spans="14:17" x14ac:dyDescent="0.25">
      <c r="N440" s="58"/>
      <c r="O440" s="58"/>
      <c r="P440" s="58"/>
      <c r="Q440" s="58"/>
    </row>
    <row r="441" spans="14:17" x14ac:dyDescent="0.25">
      <c r="N441" s="58"/>
      <c r="O441" s="58"/>
      <c r="P441" s="58"/>
      <c r="Q441" s="58"/>
    </row>
    <row r="442" spans="14:17" x14ac:dyDescent="0.25">
      <c r="N442" s="58"/>
      <c r="O442" s="58"/>
      <c r="P442" s="58"/>
      <c r="Q442" s="58"/>
    </row>
    <row r="443" spans="14:17" x14ac:dyDescent="0.25">
      <c r="N443" s="58"/>
      <c r="O443" s="58"/>
      <c r="P443" s="58"/>
      <c r="Q443" s="58"/>
    </row>
    <row r="444" spans="14:17" x14ac:dyDescent="0.25">
      <c r="N444" s="58"/>
      <c r="O444" s="58"/>
      <c r="P444" s="58"/>
      <c r="Q444" s="58"/>
    </row>
    <row r="445" spans="14:17" x14ac:dyDescent="0.25">
      <c r="N445" s="58"/>
      <c r="O445" s="58"/>
      <c r="P445" s="58"/>
      <c r="Q445" s="58"/>
    </row>
    <row r="446" spans="14:17" x14ac:dyDescent="0.25">
      <c r="N446" s="58"/>
      <c r="O446" s="58"/>
      <c r="P446" s="58"/>
      <c r="Q446" s="58"/>
    </row>
    <row r="447" spans="14:17" x14ac:dyDescent="0.25">
      <c r="N447" s="58"/>
      <c r="O447" s="58"/>
      <c r="P447" s="58"/>
      <c r="Q447" s="58"/>
    </row>
    <row r="448" spans="14:17" x14ac:dyDescent="0.25">
      <c r="N448" s="58"/>
      <c r="O448" s="58"/>
      <c r="P448" s="58"/>
      <c r="Q448" s="58"/>
    </row>
    <row r="449" spans="14:17" x14ac:dyDescent="0.25">
      <c r="N449" s="58"/>
      <c r="O449" s="58"/>
      <c r="P449" s="58"/>
      <c r="Q449" s="58"/>
    </row>
    <row r="450" spans="14:17" x14ac:dyDescent="0.25">
      <c r="N450" s="58"/>
      <c r="O450" s="58"/>
      <c r="P450" s="58"/>
      <c r="Q450" s="58"/>
    </row>
    <row r="451" spans="14:17" x14ac:dyDescent="0.25">
      <c r="N451" s="58"/>
      <c r="O451" s="58"/>
      <c r="P451" s="58"/>
      <c r="Q451" s="58"/>
    </row>
    <row r="452" spans="14:17" x14ac:dyDescent="0.25">
      <c r="N452" s="58"/>
      <c r="O452" s="58"/>
      <c r="P452" s="58"/>
      <c r="Q452" s="58"/>
    </row>
    <row r="453" spans="14:17" x14ac:dyDescent="0.25">
      <c r="N453" s="58"/>
      <c r="O453" s="58"/>
      <c r="P453" s="58"/>
      <c r="Q453" s="58"/>
    </row>
    <row r="454" spans="14:17" x14ac:dyDescent="0.25">
      <c r="N454" s="58"/>
      <c r="O454" s="58"/>
      <c r="P454" s="58"/>
      <c r="Q454" s="58"/>
    </row>
    <row r="455" spans="14:17" x14ac:dyDescent="0.25">
      <c r="N455" s="58"/>
      <c r="O455" s="58"/>
      <c r="P455" s="58"/>
      <c r="Q455" s="58"/>
    </row>
    <row r="456" spans="14:17" x14ac:dyDescent="0.25">
      <c r="N456" s="58"/>
      <c r="O456" s="58"/>
      <c r="P456" s="58"/>
      <c r="Q456" s="58"/>
    </row>
    <row r="457" spans="14:17" x14ac:dyDescent="0.25">
      <c r="N457" s="58"/>
      <c r="O457" s="58"/>
      <c r="P457" s="58"/>
      <c r="Q457" s="58"/>
    </row>
    <row r="458" spans="14:17" x14ac:dyDescent="0.25">
      <c r="N458" s="58"/>
      <c r="O458" s="58"/>
      <c r="P458" s="58"/>
      <c r="Q458" s="58"/>
    </row>
    <row r="459" spans="14:17" x14ac:dyDescent="0.25">
      <c r="N459" s="58"/>
      <c r="O459" s="58"/>
      <c r="P459" s="58"/>
      <c r="Q459" s="58"/>
    </row>
    <row r="460" spans="14:17" x14ac:dyDescent="0.25">
      <c r="N460" s="58"/>
      <c r="O460" s="58"/>
      <c r="P460" s="58"/>
      <c r="Q460" s="58"/>
    </row>
    <row r="461" spans="14:17" x14ac:dyDescent="0.25">
      <c r="N461" s="58"/>
      <c r="O461" s="58"/>
      <c r="P461" s="58"/>
      <c r="Q461" s="58"/>
    </row>
    <row r="462" spans="14:17" x14ac:dyDescent="0.25">
      <c r="N462" s="58"/>
      <c r="O462" s="58"/>
      <c r="P462" s="58"/>
      <c r="Q462" s="58"/>
    </row>
    <row r="463" spans="14:17" x14ac:dyDescent="0.25">
      <c r="N463" s="58"/>
      <c r="O463" s="58"/>
      <c r="P463" s="58"/>
      <c r="Q463" s="58"/>
    </row>
    <row r="464" spans="14:17" x14ac:dyDescent="0.25">
      <c r="N464" s="58"/>
      <c r="O464" s="58"/>
      <c r="P464" s="58"/>
      <c r="Q464" s="58"/>
    </row>
    <row r="465" spans="14:17" x14ac:dyDescent="0.25">
      <c r="N465" s="58"/>
      <c r="O465" s="58"/>
      <c r="P465" s="58"/>
      <c r="Q465" s="58"/>
    </row>
    <row r="466" spans="14:17" x14ac:dyDescent="0.25">
      <c r="N466" s="58"/>
      <c r="O466" s="58"/>
      <c r="P466" s="58"/>
      <c r="Q466" s="58"/>
    </row>
    <row r="467" spans="14:17" x14ac:dyDescent="0.25">
      <c r="N467" s="58"/>
      <c r="O467" s="58"/>
      <c r="P467" s="58"/>
      <c r="Q467" s="58"/>
    </row>
    <row r="468" spans="14:17" x14ac:dyDescent="0.25">
      <c r="N468" s="58"/>
      <c r="O468" s="58"/>
      <c r="P468" s="58"/>
      <c r="Q468" s="58"/>
    </row>
    <row r="469" spans="14:17" x14ac:dyDescent="0.25">
      <c r="N469" s="58"/>
      <c r="O469" s="58"/>
      <c r="P469" s="58"/>
      <c r="Q469" s="58"/>
    </row>
    <row r="470" spans="14:17" x14ac:dyDescent="0.25">
      <c r="N470" s="58"/>
      <c r="O470" s="58"/>
      <c r="P470" s="58"/>
      <c r="Q470" s="58"/>
    </row>
    <row r="471" spans="14:17" x14ac:dyDescent="0.25">
      <c r="N471" s="58"/>
      <c r="O471" s="58"/>
      <c r="P471" s="58"/>
      <c r="Q471" s="58"/>
    </row>
    <row r="472" spans="14:17" x14ac:dyDescent="0.25">
      <c r="N472" s="58"/>
      <c r="O472" s="58"/>
      <c r="P472" s="58"/>
      <c r="Q472" s="58"/>
    </row>
    <row r="473" spans="14:17" x14ac:dyDescent="0.25">
      <c r="N473" s="58"/>
      <c r="O473" s="58"/>
      <c r="P473" s="58"/>
      <c r="Q473" s="58"/>
    </row>
    <row r="474" spans="14:17" x14ac:dyDescent="0.25">
      <c r="N474" s="58"/>
      <c r="O474" s="58"/>
      <c r="P474" s="58"/>
      <c r="Q474" s="58"/>
    </row>
    <row r="475" spans="14:17" x14ac:dyDescent="0.25">
      <c r="N475" s="58"/>
      <c r="O475" s="58"/>
      <c r="P475" s="58"/>
      <c r="Q475" s="58"/>
    </row>
    <row r="476" spans="14:17" x14ac:dyDescent="0.25">
      <c r="N476" s="58"/>
      <c r="O476" s="58"/>
      <c r="P476" s="58"/>
      <c r="Q476" s="58"/>
    </row>
    <row r="477" spans="14:17" x14ac:dyDescent="0.25">
      <c r="N477" s="58"/>
      <c r="O477" s="58"/>
      <c r="P477" s="58"/>
      <c r="Q477" s="58"/>
    </row>
    <row r="478" spans="14:17" x14ac:dyDescent="0.25">
      <c r="N478" s="58"/>
      <c r="O478" s="58"/>
      <c r="P478" s="58"/>
      <c r="Q478" s="58"/>
    </row>
    <row r="479" spans="14:17" x14ac:dyDescent="0.25">
      <c r="N479" s="58"/>
      <c r="O479" s="58"/>
      <c r="P479" s="58"/>
      <c r="Q479" s="58"/>
    </row>
    <row r="480" spans="14:17" x14ac:dyDescent="0.25">
      <c r="N480" s="58"/>
      <c r="O480" s="58"/>
      <c r="P480" s="58"/>
      <c r="Q480" s="58"/>
    </row>
    <row r="481" spans="14:17" x14ac:dyDescent="0.25">
      <c r="N481" s="58"/>
      <c r="O481" s="58"/>
      <c r="P481" s="58"/>
      <c r="Q481" s="58"/>
    </row>
    <row r="482" spans="14:17" x14ac:dyDescent="0.25">
      <c r="N482" s="58"/>
      <c r="O482" s="58"/>
      <c r="P482" s="58"/>
      <c r="Q482" s="58"/>
    </row>
    <row r="483" spans="14:17" x14ac:dyDescent="0.25">
      <c r="N483" s="58"/>
      <c r="O483" s="58"/>
      <c r="P483" s="58"/>
      <c r="Q483" s="58"/>
    </row>
    <row r="484" spans="14:17" x14ac:dyDescent="0.25">
      <c r="N484" s="58"/>
      <c r="O484" s="58"/>
      <c r="P484" s="58"/>
      <c r="Q484" s="58"/>
    </row>
    <row r="485" spans="14:17" x14ac:dyDescent="0.25">
      <c r="N485" s="58"/>
      <c r="O485" s="58"/>
      <c r="P485" s="58"/>
      <c r="Q485" s="58"/>
    </row>
    <row r="486" spans="14:17" x14ac:dyDescent="0.25">
      <c r="N486" s="58"/>
      <c r="O486" s="58"/>
      <c r="P486" s="58"/>
      <c r="Q486" s="58"/>
    </row>
    <row r="487" spans="14:17" x14ac:dyDescent="0.25">
      <c r="N487" s="58"/>
      <c r="O487" s="58"/>
      <c r="P487" s="58"/>
      <c r="Q487" s="58"/>
    </row>
    <row r="488" spans="14:17" x14ac:dyDescent="0.25">
      <c r="N488" s="58"/>
      <c r="O488" s="58"/>
      <c r="P488" s="58"/>
      <c r="Q488" s="58"/>
    </row>
    <row r="489" spans="14:17" x14ac:dyDescent="0.25">
      <c r="N489" s="58"/>
      <c r="O489" s="58"/>
      <c r="P489" s="58"/>
      <c r="Q489" s="58"/>
    </row>
    <row r="490" spans="14:17" x14ac:dyDescent="0.25">
      <c r="N490" s="58"/>
      <c r="O490" s="58"/>
      <c r="P490" s="58"/>
      <c r="Q490" s="58"/>
    </row>
    <row r="491" spans="14:17" x14ac:dyDescent="0.25">
      <c r="N491" s="58"/>
      <c r="O491" s="58"/>
      <c r="P491" s="58"/>
      <c r="Q491" s="58"/>
    </row>
    <row r="492" spans="14:17" x14ac:dyDescent="0.25">
      <c r="N492" s="58"/>
      <c r="O492" s="58"/>
      <c r="P492" s="58"/>
      <c r="Q492" s="58"/>
    </row>
    <row r="493" spans="14:17" x14ac:dyDescent="0.25">
      <c r="N493" s="58"/>
      <c r="O493" s="58"/>
      <c r="P493" s="58"/>
      <c r="Q493" s="58"/>
    </row>
    <row r="494" spans="14:17" x14ac:dyDescent="0.25">
      <c r="N494" s="58"/>
      <c r="O494" s="58"/>
      <c r="P494" s="58"/>
      <c r="Q494" s="58"/>
    </row>
    <row r="495" spans="14:17" x14ac:dyDescent="0.25">
      <c r="N495" s="58"/>
      <c r="O495" s="58"/>
      <c r="P495" s="58"/>
      <c r="Q495" s="58"/>
    </row>
    <row r="496" spans="14:17" x14ac:dyDescent="0.25">
      <c r="N496" s="58"/>
      <c r="O496" s="58"/>
      <c r="P496" s="58"/>
      <c r="Q496" s="58"/>
    </row>
    <row r="497" spans="14:17" x14ac:dyDescent="0.25">
      <c r="N497" s="58"/>
      <c r="O497" s="58"/>
      <c r="P497" s="58"/>
      <c r="Q497" s="58"/>
    </row>
    <row r="498" spans="14:17" x14ac:dyDescent="0.25">
      <c r="N498" s="58"/>
      <c r="O498" s="58"/>
      <c r="P498" s="58"/>
      <c r="Q498" s="58"/>
    </row>
    <row r="499" spans="14:17" x14ac:dyDescent="0.25">
      <c r="N499" s="58"/>
      <c r="O499" s="58"/>
      <c r="P499" s="58"/>
      <c r="Q499" s="58"/>
    </row>
    <row r="500" spans="14:17" x14ac:dyDescent="0.25">
      <c r="N500" s="58"/>
      <c r="O500" s="58"/>
      <c r="P500" s="58"/>
      <c r="Q500" s="58"/>
    </row>
    <row r="501" spans="14:17" x14ac:dyDescent="0.25">
      <c r="N501" s="58"/>
      <c r="O501" s="58"/>
      <c r="P501" s="58"/>
      <c r="Q501" s="58"/>
    </row>
    <row r="502" spans="14:17" x14ac:dyDescent="0.25">
      <c r="N502" s="58"/>
      <c r="O502" s="58"/>
      <c r="P502" s="58"/>
      <c r="Q502" s="58"/>
    </row>
    <row r="503" spans="14:17" x14ac:dyDescent="0.25">
      <c r="N503" s="58"/>
      <c r="O503" s="58"/>
      <c r="P503" s="58"/>
      <c r="Q503" s="58"/>
    </row>
    <row r="504" spans="14:17" x14ac:dyDescent="0.25">
      <c r="N504" s="58"/>
      <c r="O504" s="58"/>
      <c r="P504" s="58"/>
      <c r="Q504" s="58"/>
    </row>
    <row r="505" spans="14:17" x14ac:dyDescent="0.25">
      <c r="N505" s="58"/>
      <c r="O505" s="58"/>
      <c r="P505" s="58"/>
      <c r="Q505" s="58"/>
    </row>
    <row r="506" spans="14:17" x14ac:dyDescent="0.25">
      <c r="N506" s="58"/>
      <c r="O506" s="58"/>
      <c r="P506" s="58"/>
      <c r="Q506" s="58"/>
    </row>
    <row r="507" spans="14:17" x14ac:dyDescent="0.25">
      <c r="N507" s="58"/>
      <c r="O507" s="58"/>
      <c r="P507" s="58"/>
      <c r="Q507" s="58"/>
    </row>
    <row r="508" spans="14:17" x14ac:dyDescent="0.25">
      <c r="N508" s="58"/>
      <c r="O508" s="58"/>
      <c r="P508" s="58"/>
      <c r="Q508" s="58"/>
    </row>
    <row r="509" spans="14:17" x14ac:dyDescent="0.25">
      <c r="N509" s="58"/>
      <c r="O509" s="58"/>
      <c r="P509" s="58"/>
      <c r="Q509" s="58"/>
    </row>
    <row r="510" spans="14:17" x14ac:dyDescent="0.25">
      <c r="N510" s="58"/>
      <c r="O510" s="58"/>
      <c r="P510" s="58"/>
      <c r="Q510" s="58"/>
    </row>
    <row r="511" spans="14:17" x14ac:dyDescent="0.25">
      <c r="N511" s="58"/>
      <c r="O511" s="58"/>
      <c r="P511" s="58"/>
      <c r="Q511" s="58"/>
    </row>
    <row r="512" spans="14:17" x14ac:dyDescent="0.25">
      <c r="N512" s="58"/>
      <c r="O512" s="58"/>
      <c r="P512" s="58"/>
      <c r="Q512" s="58"/>
    </row>
    <row r="513" spans="14:17" x14ac:dyDescent="0.25">
      <c r="N513" s="58"/>
      <c r="O513" s="58"/>
      <c r="P513" s="58"/>
      <c r="Q513" s="58"/>
    </row>
    <row r="514" spans="14:17" x14ac:dyDescent="0.25">
      <c r="N514" s="58"/>
      <c r="O514" s="58"/>
      <c r="P514" s="58"/>
      <c r="Q514" s="58"/>
    </row>
    <row r="515" spans="14:17" x14ac:dyDescent="0.25">
      <c r="N515" s="58"/>
      <c r="O515" s="58"/>
      <c r="P515" s="58"/>
      <c r="Q515" s="58"/>
    </row>
    <row r="516" spans="14:17" x14ac:dyDescent="0.25">
      <c r="N516" s="58"/>
      <c r="O516" s="58"/>
      <c r="P516" s="58"/>
      <c r="Q516" s="58"/>
    </row>
    <row r="517" spans="14:17" x14ac:dyDescent="0.25">
      <c r="N517" s="58"/>
      <c r="O517" s="58"/>
      <c r="P517" s="58"/>
      <c r="Q517" s="58"/>
    </row>
    <row r="518" spans="14:17" x14ac:dyDescent="0.25">
      <c r="N518" s="58"/>
      <c r="O518" s="58"/>
      <c r="P518" s="58"/>
      <c r="Q518" s="58"/>
    </row>
    <row r="519" spans="14:17" x14ac:dyDescent="0.25">
      <c r="N519" s="58"/>
      <c r="O519" s="58"/>
      <c r="P519" s="58"/>
      <c r="Q519" s="58"/>
    </row>
    <row r="520" spans="14:17" x14ac:dyDescent="0.25">
      <c r="N520" s="58"/>
      <c r="O520" s="58"/>
      <c r="P520" s="58"/>
      <c r="Q520" s="58"/>
    </row>
    <row r="521" spans="14:17" x14ac:dyDescent="0.25">
      <c r="N521" s="58"/>
      <c r="O521" s="58"/>
      <c r="P521" s="58"/>
      <c r="Q521" s="58"/>
    </row>
    <row r="522" spans="14:17" x14ac:dyDescent="0.25">
      <c r="N522" s="58"/>
      <c r="O522" s="58"/>
      <c r="P522" s="58"/>
      <c r="Q522" s="58"/>
    </row>
    <row r="523" spans="14:17" x14ac:dyDescent="0.25">
      <c r="N523" s="58"/>
      <c r="O523" s="58"/>
      <c r="P523" s="58"/>
      <c r="Q523" s="58"/>
    </row>
    <row r="524" spans="14:17" x14ac:dyDescent="0.25">
      <c r="N524" s="58"/>
      <c r="O524" s="58"/>
      <c r="P524" s="58"/>
      <c r="Q524" s="58"/>
    </row>
    <row r="525" spans="14:17" x14ac:dyDescent="0.25">
      <c r="N525" s="58"/>
      <c r="O525" s="58"/>
      <c r="P525" s="58"/>
      <c r="Q525" s="58"/>
    </row>
    <row r="526" spans="14:17" x14ac:dyDescent="0.25">
      <c r="N526" s="58"/>
      <c r="O526" s="58"/>
      <c r="P526" s="58"/>
      <c r="Q526" s="58"/>
    </row>
    <row r="527" spans="14:17" x14ac:dyDescent="0.25">
      <c r="N527" s="58"/>
      <c r="O527" s="58"/>
      <c r="P527" s="58"/>
      <c r="Q527" s="58"/>
    </row>
    <row r="528" spans="14:17" x14ac:dyDescent="0.25">
      <c r="N528" s="58"/>
      <c r="O528" s="58"/>
      <c r="P528" s="58"/>
      <c r="Q528" s="58"/>
    </row>
    <row r="529" spans="14:17" x14ac:dyDescent="0.25">
      <c r="N529" s="58"/>
      <c r="O529" s="58"/>
      <c r="P529" s="58"/>
      <c r="Q529" s="58"/>
    </row>
    <row r="530" spans="14:17" x14ac:dyDescent="0.25">
      <c r="N530" s="58"/>
      <c r="O530" s="58"/>
      <c r="P530" s="58"/>
      <c r="Q530" s="58"/>
    </row>
    <row r="531" spans="14:17" x14ac:dyDescent="0.25">
      <c r="N531" s="58"/>
      <c r="O531" s="58"/>
      <c r="P531" s="58"/>
      <c r="Q531" s="58"/>
    </row>
    <row r="532" spans="14:17" x14ac:dyDescent="0.25">
      <c r="N532" s="58"/>
      <c r="O532" s="58"/>
      <c r="P532" s="58"/>
      <c r="Q532" s="58"/>
    </row>
    <row r="533" spans="14:17" x14ac:dyDescent="0.25">
      <c r="N533" s="58"/>
      <c r="O533" s="58"/>
      <c r="P533" s="58"/>
      <c r="Q533" s="58"/>
    </row>
    <row r="534" spans="14:17" x14ac:dyDescent="0.25">
      <c r="N534" s="58"/>
      <c r="O534" s="58"/>
      <c r="P534" s="58"/>
      <c r="Q534" s="58"/>
    </row>
    <row r="535" spans="14:17" x14ac:dyDescent="0.25">
      <c r="N535" s="58"/>
      <c r="O535" s="58"/>
      <c r="P535" s="58"/>
      <c r="Q535" s="58"/>
    </row>
    <row r="536" spans="14:17" x14ac:dyDescent="0.25">
      <c r="N536" s="58"/>
      <c r="O536" s="58"/>
      <c r="P536" s="58"/>
      <c r="Q536" s="58"/>
    </row>
    <row r="537" spans="14:17" x14ac:dyDescent="0.25">
      <c r="N537" s="58"/>
      <c r="O537" s="58"/>
      <c r="P537" s="58"/>
      <c r="Q537" s="58"/>
    </row>
    <row r="538" spans="14:17" x14ac:dyDescent="0.25">
      <c r="N538" s="58"/>
      <c r="O538" s="58"/>
      <c r="P538" s="58"/>
      <c r="Q538" s="58"/>
    </row>
    <row r="539" spans="14:17" x14ac:dyDescent="0.25">
      <c r="N539" s="58"/>
      <c r="O539" s="58"/>
      <c r="P539" s="58"/>
      <c r="Q539" s="58"/>
    </row>
    <row r="540" spans="14:17" x14ac:dyDescent="0.25">
      <c r="N540" s="58"/>
      <c r="O540" s="58"/>
      <c r="P540" s="58"/>
      <c r="Q540" s="58"/>
    </row>
    <row r="541" spans="14:17" x14ac:dyDescent="0.25">
      <c r="N541" s="58"/>
      <c r="O541" s="58"/>
      <c r="P541" s="58"/>
      <c r="Q541" s="58"/>
    </row>
    <row r="542" spans="14:17" x14ac:dyDescent="0.25">
      <c r="N542" s="58"/>
      <c r="O542" s="58"/>
      <c r="P542" s="58"/>
      <c r="Q542" s="58"/>
    </row>
    <row r="543" spans="14:17" x14ac:dyDescent="0.25">
      <c r="N543" s="58"/>
      <c r="O543" s="58"/>
      <c r="P543" s="58"/>
      <c r="Q543" s="58"/>
    </row>
    <row r="544" spans="14:17" x14ac:dyDescent="0.25">
      <c r="N544" s="58"/>
      <c r="O544" s="58"/>
      <c r="P544" s="58"/>
      <c r="Q544" s="58"/>
    </row>
    <row r="545" spans="14:17" x14ac:dyDescent="0.25">
      <c r="N545" s="58"/>
      <c r="O545" s="58"/>
      <c r="P545" s="58"/>
      <c r="Q545" s="58"/>
    </row>
    <row r="546" spans="14:17" x14ac:dyDescent="0.25">
      <c r="N546" s="58"/>
      <c r="O546" s="58"/>
      <c r="P546" s="58"/>
      <c r="Q546" s="58"/>
    </row>
    <row r="547" spans="14:17" x14ac:dyDescent="0.25">
      <c r="N547" s="58"/>
      <c r="O547" s="58"/>
      <c r="P547" s="58"/>
      <c r="Q547" s="58"/>
    </row>
    <row r="548" spans="14:17" x14ac:dyDescent="0.25">
      <c r="N548" s="58"/>
      <c r="O548" s="58"/>
      <c r="P548" s="58"/>
      <c r="Q548" s="58"/>
    </row>
    <row r="549" spans="14:17" x14ac:dyDescent="0.25">
      <c r="N549" s="58"/>
      <c r="O549" s="58"/>
      <c r="P549" s="58"/>
      <c r="Q549" s="58"/>
    </row>
    <row r="550" spans="14:17" x14ac:dyDescent="0.25">
      <c r="N550" s="58"/>
      <c r="O550" s="58"/>
      <c r="P550" s="58"/>
      <c r="Q550" s="58"/>
    </row>
    <row r="551" spans="14:17" x14ac:dyDescent="0.25">
      <c r="N551" s="58"/>
      <c r="O551" s="58"/>
      <c r="P551" s="58"/>
      <c r="Q551" s="58"/>
    </row>
    <row r="552" spans="14:17" x14ac:dyDescent="0.25">
      <c r="N552" s="58"/>
      <c r="O552" s="58"/>
      <c r="P552" s="58"/>
      <c r="Q552" s="58"/>
    </row>
    <row r="553" spans="14:17" x14ac:dyDescent="0.25">
      <c r="N553" s="58"/>
      <c r="O553" s="58"/>
      <c r="P553" s="58"/>
      <c r="Q553" s="58"/>
    </row>
    <row r="554" spans="14:17" x14ac:dyDescent="0.25">
      <c r="N554" s="58"/>
      <c r="O554" s="58"/>
      <c r="P554" s="58"/>
      <c r="Q554" s="58"/>
    </row>
    <row r="555" spans="14:17" x14ac:dyDescent="0.25">
      <c r="N555" s="58"/>
      <c r="O555" s="58"/>
      <c r="P555" s="58"/>
      <c r="Q555" s="58"/>
    </row>
    <row r="556" spans="14:17" x14ac:dyDescent="0.25">
      <c r="N556" s="58"/>
      <c r="O556" s="58"/>
      <c r="P556" s="58"/>
      <c r="Q556" s="58"/>
    </row>
    <row r="557" spans="14:17" x14ac:dyDescent="0.25">
      <c r="N557" s="58"/>
      <c r="O557" s="58"/>
      <c r="P557" s="58"/>
      <c r="Q557" s="58"/>
    </row>
    <row r="558" spans="14:17" x14ac:dyDescent="0.25">
      <c r="N558" s="58"/>
      <c r="O558" s="58"/>
      <c r="P558" s="58"/>
      <c r="Q558" s="58"/>
    </row>
    <row r="559" spans="14:17" x14ac:dyDescent="0.25">
      <c r="N559" s="58"/>
      <c r="O559" s="58"/>
      <c r="P559" s="58"/>
      <c r="Q559" s="58"/>
    </row>
    <row r="560" spans="14:17" x14ac:dyDescent="0.25">
      <c r="N560" s="58"/>
      <c r="O560" s="58"/>
      <c r="P560" s="58"/>
      <c r="Q560" s="58"/>
    </row>
    <row r="561" spans="14:17" x14ac:dyDescent="0.25">
      <c r="N561" s="58"/>
      <c r="O561" s="58"/>
      <c r="P561" s="58"/>
      <c r="Q561" s="58"/>
    </row>
    <row r="562" spans="14:17" x14ac:dyDescent="0.25">
      <c r="N562" s="58"/>
      <c r="O562" s="58"/>
      <c r="P562" s="58"/>
      <c r="Q562" s="58"/>
    </row>
    <row r="563" spans="14:17" x14ac:dyDescent="0.25">
      <c r="N563" s="58"/>
      <c r="O563" s="58"/>
      <c r="P563" s="58"/>
      <c r="Q563" s="58"/>
    </row>
    <row r="564" spans="14:17" x14ac:dyDescent="0.25">
      <c r="N564" s="58"/>
      <c r="O564" s="58"/>
      <c r="P564" s="58"/>
      <c r="Q564" s="58"/>
    </row>
    <row r="565" spans="14:17" x14ac:dyDescent="0.25">
      <c r="N565" s="58"/>
      <c r="O565" s="58"/>
      <c r="P565" s="58"/>
      <c r="Q565" s="58"/>
    </row>
    <row r="566" spans="14:17" x14ac:dyDescent="0.25">
      <c r="N566" s="58"/>
      <c r="O566" s="58"/>
      <c r="P566" s="58"/>
      <c r="Q566" s="58"/>
    </row>
    <row r="567" spans="14:17" x14ac:dyDescent="0.25">
      <c r="N567" s="58"/>
      <c r="O567" s="58"/>
      <c r="P567" s="58"/>
      <c r="Q567" s="58"/>
    </row>
    <row r="568" spans="14:17" x14ac:dyDescent="0.25">
      <c r="N568" s="58"/>
      <c r="O568" s="58"/>
      <c r="P568" s="58"/>
      <c r="Q568" s="58"/>
    </row>
    <row r="569" spans="14:17" x14ac:dyDescent="0.25">
      <c r="N569" s="58"/>
      <c r="O569" s="58"/>
      <c r="P569" s="58"/>
      <c r="Q569" s="58"/>
    </row>
    <row r="570" spans="14:17" x14ac:dyDescent="0.25">
      <c r="N570" s="58"/>
      <c r="O570" s="58"/>
      <c r="P570" s="58"/>
      <c r="Q570" s="58"/>
    </row>
    <row r="571" spans="14:17" x14ac:dyDescent="0.25">
      <c r="N571" s="58"/>
      <c r="O571" s="58"/>
      <c r="P571" s="58"/>
      <c r="Q571" s="58"/>
    </row>
    <row r="572" spans="14:17" x14ac:dyDescent="0.25">
      <c r="N572" s="58"/>
      <c r="O572" s="58"/>
      <c r="P572" s="58"/>
      <c r="Q572" s="58"/>
    </row>
    <row r="573" spans="14:17" x14ac:dyDescent="0.25">
      <c r="N573" s="58"/>
      <c r="O573" s="58"/>
      <c r="P573" s="58"/>
      <c r="Q573" s="58"/>
    </row>
    <row r="574" spans="14:17" x14ac:dyDescent="0.25">
      <c r="N574" s="58"/>
      <c r="O574" s="58"/>
      <c r="P574" s="58"/>
      <c r="Q574" s="58"/>
    </row>
    <row r="575" spans="14:17" x14ac:dyDescent="0.25">
      <c r="N575" s="58"/>
      <c r="O575" s="58"/>
      <c r="P575" s="58"/>
      <c r="Q575" s="58"/>
    </row>
    <row r="576" spans="14:17" x14ac:dyDescent="0.25">
      <c r="N576" s="58"/>
      <c r="O576" s="58"/>
      <c r="P576" s="58"/>
      <c r="Q576" s="58"/>
    </row>
    <row r="577" spans="14:17" x14ac:dyDescent="0.25">
      <c r="N577" s="58"/>
      <c r="O577" s="58"/>
      <c r="P577" s="58"/>
      <c r="Q577" s="58"/>
    </row>
    <row r="578" spans="14:17" x14ac:dyDescent="0.25">
      <c r="N578" s="58"/>
      <c r="O578" s="58"/>
      <c r="P578" s="58"/>
      <c r="Q578" s="58"/>
    </row>
    <row r="579" spans="14:17" x14ac:dyDescent="0.25">
      <c r="N579" s="58"/>
      <c r="O579" s="58"/>
      <c r="P579" s="58"/>
      <c r="Q579" s="58"/>
    </row>
    <row r="580" spans="14:17" x14ac:dyDescent="0.25">
      <c r="N580" s="58"/>
      <c r="O580" s="58"/>
      <c r="P580" s="58"/>
      <c r="Q580" s="58"/>
    </row>
    <row r="581" spans="14:17" x14ac:dyDescent="0.25">
      <c r="N581" s="58"/>
      <c r="O581" s="58"/>
      <c r="P581" s="58"/>
      <c r="Q581" s="58"/>
    </row>
    <row r="582" spans="14:17" x14ac:dyDescent="0.25">
      <c r="N582" s="58"/>
      <c r="O582" s="58"/>
      <c r="P582" s="58"/>
      <c r="Q582" s="58"/>
    </row>
    <row r="583" spans="14:17" x14ac:dyDescent="0.25">
      <c r="N583" s="58"/>
      <c r="O583" s="58"/>
      <c r="P583" s="58"/>
      <c r="Q583" s="58"/>
    </row>
    <row r="584" spans="14:17" x14ac:dyDescent="0.25">
      <c r="N584" s="58"/>
      <c r="O584" s="58"/>
      <c r="P584" s="58"/>
      <c r="Q584" s="58"/>
    </row>
    <row r="585" spans="14:17" x14ac:dyDescent="0.25">
      <c r="N585" s="58"/>
      <c r="O585" s="58"/>
      <c r="P585" s="58"/>
      <c r="Q585" s="58"/>
    </row>
    <row r="586" spans="14:17" x14ac:dyDescent="0.25">
      <c r="N586" s="58"/>
      <c r="O586" s="58"/>
      <c r="P586" s="58"/>
      <c r="Q586" s="58"/>
    </row>
    <row r="587" spans="14:17" x14ac:dyDescent="0.25">
      <c r="N587" s="58"/>
      <c r="O587" s="58"/>
      <c r="P587" s="58"/>
      <c r="Q587" s="58"/>
    </row>
    <row r="588" spans="14:17" x14ac:dyDescent="0.25">
      <c r="N588" s="58"/>
      <c r="O588" s="58"/>
      <c r="P588" s="58"/>
      <c r="Q588" s="58"/>
    </row>
    <row r="589" spans="14:17" x14ac:dyDescent="0.25">
      <c r="N589" s="58"/>
      <c r="O589" s="58"/>
      <c r="P589" s="58"/>
      <c r="Q589" s="58"/>
    </row>
    <row r="590" spans="14:17" x14ac:dyDescent="0.25">
      <c r="N590" s="58"/>
      <c r="O590" s="58"/>
      <c r="P590" s="58"/>
      <c r="Q590" s="58"/>
    </row>
    <row r="591" spans="14:17" x14ac:dyDescent="0.25">
      <c r="N591" s="58"/>
      <c r="O591" s="58"/>
      <c r="P591" s="58"/>
      <c r="Q591" s="58"/>
    </row>
    <row r="592" spans="14:17" x14ac:dyDescent="0.25">
      <c r="N592" s="58"/>
      <c r="O592" s="58"/>
      <c r="P592" s="58"/>
      <c r="Q592" s="58"/>
    </row>
    <row r="593" spans="14:17" x14ac:dyDescent="0.25">
      <c r="N593" s="58"/>
      <c r="O593" s="58"/>
      <c r="P593" s="58"/>
      <c r="Q593" s="58"/>
    </row>
    <row r="594" spans="14:17" x14ac:dyDescent="0.25">
      <c r="N594" s="58"/>
      <c r="O594" s="58"/>
      <c r="P594" s="58"/>
      <c r="Q594" s="58"/>
    </row>
    <row r="595" spans="14:17" x14ac:dyDescent="0.25">
      <c r="N595" s="58"/>
      <c r="O595" s="58"/>
      <c r="P595" s="58"/>
      <c r="Q595" s="58"/>
    </row>
    <row r="596" spans="14:17" x14ac:dyDescent="0.25">
      <c r="N596" s="58"/>
      <c r="O596" s="58"/>
      <c r="P596" s="58"/>
      <c r="Q596" s="58"/>
    </row>
    <row r="597" spans="14:17" x14ac:dyDescent="0.25">
      <c r="N597" s="58"/>
      <c r="O597" s="58"/>
      <c r="P597" s="58"/>
      <c r="Q597" s="58"/>
    </row>
    <row r="598" spans="14:17" x14ac:dyDescent="0.25">
      <c r="N598" s="58"/>
      <c r="O598" s="58"/>
      <c r="P598" s="58"/>
      <c r="Q598" s="58"/>
    </row>
    <row r="599" spans="14:17" x14ac:dyDescent="0.25">
      <c r="N599" s="58"/>
      <c r="O599" s="58"/>
      <c r="P599" s="58"/>
      <c r="Q599" s="58"/>
    </row>
    <row r="600" spans="14:17" x14ac:dyDescent="0.25">
      <c r="N600" s="58"/>
      <c r="O600" s="58"/>
      <c r="P600" s="58"/>
      <c r="Q600" s="58"/>
    </row>
    <row r="601" spans="14:17" x14ac:dyDescent="0.25">
      <c r="N601" s="58"/>
      <c r="O601" s="58"/>
      <c r="P601" s="58"/>
      <c r="Q601" s="58"/>
    </row>
    <row r="602" spans="14:17" x14ac:dyDescent="0.25">
      <c r="N602" s="58"/>
      <c r="O602" s="58"/>
      <c r="P602" s="58"/>
      <c r="Q602" s="58"/>
    </row>
    <row r="603" spans="14:17" x14ac:dyDescent="0.25">
      <c r="N603" s="58"/>
      <c r="O603" s="58"/>
      <c r="P603" s="58"/>
      <c r="Q603" s="58"/>
    </row>
    <row r="604" spans="14:17" x14ac:dyDescent="0.25">
      <c r="N604" s="58"/>
      <c r="O604" s="58"/>
      <c r="P604" s="58"/>
      <c r="Q604" s="58"/>
    </row>
    <row r="605" spans="14:17" x14ac:dyDescent="0.25">
      <c r="N605" s="58"/>
      <c r="O605" s="58"/>
      <c r="P605" s="58"/>
      <c r="Q605" s="58"/>
    </row>
    <row r="606" spans="14:17" x14ac:dyDescent="0.25">
      <c r="N606" s="58"/>
      <c r="O606" s="58"/>
      <c r="P606" s="58"/>
      <c r="Q606" s="58"/>
    </row>
    <row r="607" spans="14:17" x14ac:dyDescent="0.25">
      <c r="N607" s="58"/>
      <c r="O607" s="58"/>
      <c r="P607" s="58"/>
      <c r="Q607" s="58"/>
    </row>
    <row r="608" spans="14:17" x14ac:dyDescent="0.25">
      <c r="N608" s="58"/>
      <c r="O608" s="58"/>
      <c r="P608" s="58"/>
      <c r="Q608" s="58"/>
    </row>
    <row r="609" spans="14:17" x14ac:dyDescent="0.25">
      <c r="N609" s="58"/>
      <c r="O609" s="58"/>
      <c r="P609" s="58"/>
      <c r="Q609" s="58"/>
    </row>
    <row r="610" spans="14:17" x14ac:dyDescent="0.25">
      <c r="N610" s="58"/>
      <c r="O610" s="58"/>
      <c r="P610" s="58"/>
      <c r="Q610" s="58"/>
    </row>
    <row r="611" spans="14:17" x14ac:dyDescent="0.25">
      <c r="N611" s="58"/>
      <c r="O611" s="58"/>
      <c r="P611" s="58"/>
      <c r="Q611" s="58"/>
    </row>
    <row r="612" spans="14:17" x14ac:dyDescent="0.25">
      <c r="N612" s="58"/>
      <c r="O612" s="58"/>
      <c r="P612" s="58"/>
      <c r="Q612" s="58"/>
    </row>
    <row r="613" spans="14:17" x14ac:dyDescent="0.25">
      <c r="N613" s="58"/>
      <c r="O613" s="58"/>
      <c r="P613" s="58"/>
      <c r="Q613" s="58"/>
    </row>
    <row r="614" spans="14:17" x14ac:dyDescent="0.25">
      <c r="N614" s="58"/>
      <c r="O614" s="58"/>
      <c r="P614" s="58"/>
      <c r="Q614" s="58"/>
    </row>
    <row r="615" spans="14:17" x14ac:dyDescent="0.25">
      <c r="N615" s="58"/>
      <c r="O615" s="58"/>
      <c r="P615" s="58"/>
      <c r="Q615" s="58"/>
    </row>
    <row r="616" spans="14:17" x14ac:dyDescent="0.25">
      <c r="N616" s="58"/>
      <c r="O616" s="58"/>
      <c r="P616" s="58"/>
      <c r="Q616" s="58"/>
    </row>
    <row r="617" spans="14:17" x14ac:dyDescent="0.25">
      <c r="N617" s="58"/>
      <c r="O617" s="58"/>
      <c r="P617" s="58"/>
      <c r="Q617" s="58"/>
    </row>
    <row r="618" spans="14:17" x14ac:dyDescent="0.25">
      <c r="N618" s="58"/>
      <c r="O618" s="58"/>
      <c r="P618" s="58"/>
      <c r="Q618" s="58"/>
    </row>
    <row r="619" spans="14:17" x14ac:dyDescent="0.25">
      <c r="N619" s="58"/>
      <c r="O619" s="58"/>
      <c r="P619" s="58"/>
      <c r="Q619" s="58"/>
    </row>
    <row r="620" spans="14:17" x14ac:dyDescent="0.25">
      <c r="N620" s="58"/>
      <c r="O620" s="58"/>
      <c r="P620" s="58"/>
      <c r="Q620" s="58"/>
    </row>
    <row r="621" spans="14:17" x14ac:dyDescent="0.25">
      <c r="N621" s="58"/>
      <c r="O621" s="58"/>
      <c r="P621" s="58"/>
      <c r="Q621" s="58"/>
    </row>
    <row r="622" spans="14:17" x14ac:dyDescent="0.25">
      <c r="N622" s="58"/>
      <c r="O622" s="58"/>
      <c r="P622" s="58"/>
      <c r="Q622" s="58"/>
    </row>
    <row r="623" spans="14:17" x14ac:dyDescent="0.25">
      <c r="N623" s="58"/>
      <c r="O623" s="58"/>
      <c r="P623" s="58"/>
      <c r="Q623" s="58"/>
    </row>
    <row r="624" spans="14:17" x14ac:dyDescent="0.25">
      <c r="N624" s="58"/>
      <c r="O624" s="58"/>
      <c r="P624" s="58"/>
      <c r="Q624" s="58"/>
    </row>
    <row r="625" spans="14:17" x14ac:dyDescent="0.25">
      <c r="N625" s="58"/>
      <c r="O625" s="58"/>
      <c r="P625" s="58"/>
      <c r="Q625" s="58"/>
    </row>
    <row r="626" spans="14:17" x14ac:dyDescent="0.25">
      <c r="N626" s="58"/>
      <c r="O626" s="58"/>
      <c r="P626" s="58"/>
      <c r="Q626" s="58"/>
    </row>
    <row r="627" spans="14:17" x14ac:dyDescent="0.25">
      <c r="N627" s="58"/>
      <c r="O627" s="58"/>
      <c r="P627" s="58"/>
      <c r="Q627" s="58"/>
    </row>
    <row r="628" spans="14:17" x14ac:dyDescent="0.25">
      <c r="N628" s="58"/>
      <c r="O628" s="58"/>
      <c r="P628" s="58"/>
      <c r="Q628" s="58"/>
    </row>
    <row r="629" spans="14:17" x14ac:dyDescent="0.25">
      <c r="N629" s="58"/>
      <c r="O629" s="58"/>
      <c r="P629" s="58"/>
      <c r="Q629" s="58"/>
    </row>
    <row r="630" spans="14:17" x14ac:dyDescent="0.25">
      <c r="N630" s="58"/>
      <c r="O630" s="58"/>
      <c r="P630" s="58"/>
      <c r="Q630" s="58"/>
    </row>
    <row r="631" spans="14:17" x14ac:dyDescent="0.25">
      <c r="N631" s="58"/>
      <c r="O631" s="58"/>
      <c r="P631" s="58"/>
      <c r="Q631" s="58"/>
    </row>
    <row r="632" spans="14:17" x14ac:dyDescent="0.25">
      <c r="N632" s="58"/>
      <c r="O632" s="58"/>
      <c r="P632" s="58"/>
      <c r="Q632" s="58"/>
    </row>
    <row r="633" spans="14:17" x14ac:dyDescent="0.25">
      <c r="N633" s="58"/>
      <c r="O633" s="58"/>
      <c r="P633" s="58"/>
      <c r="Q633" s="58"/>
    </row>
    <row r="634" spans="14:17" x14ac:dyDescent="0.25">
      <c r="N634" s="58"/>
      <c r="O634" s="58"/>
      <c r="P634" s="58"/>
      <c r="Q634" s="58"/>
    </row>
    <row r="635" spans="14:17" x14ac:dyDescent="0.25">
      <c r="N635" s="58"/>
      <c r="O635" s="58"/>
      <c r="P635" s="58"/>
      <c r="Q635" s="58"/>
    </row>
    <row r="636" spans="14:17" x14ac:dyDescent="0.25">
      <c r="N636" s="58"/>
      <c r="O636" s="58"/>
      <c r="P636" s="58"/>
      <c r="Q636" s="58"/>
    </row>
    <row r="637" spans="14:17" x14ac:dyDescent="0.25">
      <c r="N637" s="58"/>
      <c r="O637" s="58"/>
      <c r="P637" s="58"/>
      <c r="Q637" s="58"/>
    </row>
    <row r="638" spans="14:17" x14ac:dyDescent="0.25">
      <c r="N638" s="58"/>
      <c r="O638" s="58"/>
      <c r="P638" s="58"/>
      <c r="Q638" s="58"/>
    </row>
    <row r="639" spans="14:17" x14ac:dyDescent="0.25">
      <c r="N639" s="58"/>
      <c r="O639" s="58"/>
      <c r="P639" s="58"/>
      <c r="Q639" s="58"/>
    </row>
    <row r="640" spans="14:17" x14ac:dyDescent="0.25">
      <c r="N640" s="58"/>
      <c r="O640" s="58"/>
      <c r="P640" s="58"/>
      <c r="Q640" s="58"/>
    </row>
    <row r="641" spans="14:17" x14ac:dyDescent="0.25">
      <c r="N641" s="58"/>
      <c r="O641" s="58"/>
      <c r="P641" s="58"/>
      <c r="Q641" s="58"/>
    </row>
    <row r="642" spans="14:17" x14ac:dyDescent="0.25">
      <c r="N642" s="58"/>
      <c r="O642" s="58"/>
      <c r="P642" s="58"/>
      <c r="Q642" s="58"/>
    </row>
    <row r="643" spans="14:17" x14ac:dyDescent="0.25">
      <c r="N643" s="58"/>
      <c r="O643" s="58"/>
      <c r="P643" s="58"/>
      <c r="Q643" s="58"/>
    </row>
    <row r="644" spans="14:17" x14ac:dyDescent="0.25">
      <c r="N644" s="58"/>
      <c r="O644" s="58"/>
      <c r="P644" s="58"/>
      <c r="Q644" s="58"/>
    </row>
    <row r="645" spans="14:17" x14ac:dyDescent="0.25">
      <c r="N645" s="58"/>
      <c r="O645" s="58"/>
      <c r="P645" s="58"/>
      <c r="Q645" s="58"/>
    </row>
    <row r="646" spans="14:17" x14ac:dyDescent="0.25">
      <c r="N646" s="58"/>
      <c r="O646" s="58"/>
      <c r="P646" s="58"/>
      <c r="Q646" s="58"/>
    </row>
    <row r="647" spans="14:17" x14ac:dyDescent="0.25">
      <c r="N647" s="58"/>
      <c r="O647" s="58"/>
      <c r="P647" s="58"/>
      <c r="Q647" s="58"/>
    </row>
    <row r="648" spans="14:17" x14ac:dyDescent="0.25">
      <c r="N648" s="58"/>
      <c r="O648" s="58"/>
      <c r="P648" s="58"/>
      <c r="Q648" s="58"/>
    </row>
    <row r="649" spans="14:17" x14ac:dyDescent="0.25">
      <c r="N649" s="58"/>
      <c r="O649" s="58"/>
      <c r="P649" s="58"/>
      <c r="Q649" s="58"/>
    </row>
    <row r="650" spans="14:17" x14ac:dyDescent="0.25">
      <c r="N650" s="58"/>
      <c r="O650" s="58"/>
      <c r="P650" s="58"/>
      <c r="Q650" s="58"/>
    </row>
    <row r="651" spans="14:17" x14ac:dyDescent="0.25">
      <c r="N651" s="58"/>
      <c r="O651" s="58"/>
      <c r="P651" s="58"/>
      <c r="Q651" s="58"/>
    </row>
    <row r="652" spans="14:17" x14ac:dyDescent="0.25">
      <c r="N652" s="58"/>
      <c r="O652" s="58"/>
      <c r="P652" s="58"/>
      <c r="Q652" s="58"/>
    </row>
    <row r="653" spans="14:17" x14ac:dyDescent="0.25">
      <c r="N653" s="58"/>
      <c r="O653" s="58"/>
      <c r="P653" s="58"/>
      <c r="Q653" s="58"/>
    </row>
    <row r="654" spans="14:17" x14ac:dyDescent="0.25">
      <c r="N654" s="58"/>
      <c r="O654" s="58"/>
      <c r="P654" s="58"/>
      <c r="Q654" s="58"/>
    </row>
    <row r="655" spans="14:17" x14ac:dyDescent="0.25">
      <c r="N655" s="58"/>
      <c r="O655" s="58"/>
      <c r="P655" s="58"/>
      <c r="Q655" s="58"/>
    </row>
    <row r="656" spans="14:17" x14ac:dyDescent="0.25">
      <c r="N656" s="58"/>
      <c r="O656" s="58"/>
      <c r="P656" s="58"/>
      <c r="Q656" s="58"/>
    </row>
    <row r="657" spans="14:17" x14ac:dyDescent="0.25">
      <c r="N657" s="58"/>
      <c r="O657" s="58"/>
      <c r="P657" s="58"/>
      <c r="Q657" s="58"/>
    </row>
    <row r="658" spans="14:17" x14ac:dyDescent="0.25">
      <c r="N658" s="58"/>
      <c r="O658" s="58"/>
      <c r="P658" s="58"/>
      <c r="Q658" s="58"/>
    </row>
    <row r="659" spans="14:17" x14ac:dyDescent="0.25">
      <c r="N659" s="58"/>
      <c r="O659" s="58"/>
      <c r="P659" s="58"/>
      <c r="Q659" s="58"/>
    </row>
    <row r="660" spans="14:17" x14ac:dyDescent="0.25">
      <c r="N660" s="58"/>
      <c r="O660" s="58"/>
      <c r="P660" s="58"/>
      <c r="Q660" s="58"/>
    </row>
    <row r="661" spans="14:17" x14ac:dyDescent="0.25">
      <c r="N661" s="58"/>
      <c r="O661" s="58"/>
      <c r="P661" s="58"/>
      <c r="Q661" s="58"/>
    </row>
    <row r="662" spans="14:17" x14ac:dyDescent="0.25">
      <c r="N662" s="58"/>
      <c r="O662" s="58"/>
      <c r="P662" s="58"/>
      <c r="Q662" s="58"/>
    </row>
    <row r="663" spans="14:17" x14ac:dyDescent="0.25">
      <c r="N663" s="58"/>
      <c r="O663" s="58"/>
      <c r="P663" s="58"/>
      <c r="Q663" s="58"/>
    </row>
    <row r="664" spans="14:17" x14ac:dyDescent="0.25">
      <c r="N664" s="58"/>
      <c r="O664" s="58"/>
      <c r="P664" s="58"/>
      <c r="Q664" s="58"/>
    </row>
    <row r="665" spans="14:17" x14ac:dyDescent="0.25">
      <c r="N665" s="58"/>
      <c r="O665" s="58"/>
      <c r="P665" s="58"/>
      <c r="Q665" s="58"/>
    </row>
    <row r="666" spans="14:17" x14ac:dyDescent="0.25">
      <c r="N666" s="58"/>
      <c r="O666" s="58"/>
      <c r="P666" s="58"/>
      <c r="Q666" s="58"/>
    </row>
    <row r="667" spans="14:17" x14ac:dyDescent="0.25">
      <c r="N667" s="58"/>
      <c r="O667" s="58"/>
      <c r="P667" s="58"/>
      <c r="Q667" s="58"/>
    </row>
    <row r="668" spans="14:17" x14ac:dyDescent="0.25">
      <c r="N668" s="58"/>
      <c r="O668" s="58"/>
      <c r="P668" s="58"/>
      <c r="Q668" s="58"/>
    </row>
    <row r="669" spans="14:17" x14ac:dyDescent="0.25">
      <c r="N669" s="58"/>
      <c r="O669" s="58"/>
      <c r="P669" s="58"/>
      <c r="Q669" s="58"/>
    </row>
    <row r="670" spans="14:17" x14ac:dyDescent="0.25">
      <c r="N670" s="58"/>
      <c r="O670" s="58"/>
      <c r="P670" s="58"/>
      <c r="Q670" s="58"/>
    </row>
    <row r="671" spans="14:17" x14ac:dyDescent="0.25">
      <c r="N671" s="58"/>
      <c r="O671" s="58"/>
      <c r="P671" s="58"/>
      <c r="Q671" s="58"/>
    </row>
    <row r="672" spans="14:17" x14ac:dyDescent="0.25">
      <c r="N672" s="58"/>
      <c r="O672" s="58"/>
      <c r="P672" s="58"/>
      <c r="Q672" s="58"/>
    </row>
    <row r="673" spans="14:17" x14ac:dyDescent="0.25">
      <c r="N673" s="58"/>
      <c r="O673" s="58"/>
      <c r="P673" s="58"/>
      <c r="Q673" s="58"/>
    </row>
    <row r="674" spans="14:17" x14ac:dyDescent="0.25">
      <c r="N674" s="58"/>
      <c r="O674" s="58"/>
      <c r="P674" s="58"/>
      <c r="Q674" s="58"/>
    </row>
    <row r="675" spans="14:17" x14ac:dyDescent="0.25">
      <c r="N675" s="58"/>
      <c r="O675" s="58"/>
      <c r="P675" s="58"/>
      <c r="Q675" s="58"/>
    </row>
    <row r="676" spans="14:17" x14ac:dyDescent="0.25">
      <c r="N676" s="58"/>
      <c r="O676" s="58"/>
      <c r="P676" s="58"/>
      <c r="Q676" s="58"/>
    </row>
    <row r="677" spans="14:17" x14ac:dyDescent="0.25">
      <c r="N677" s="58"/>
      <c r="O677" s="58"/>
      <c r="P677" s="58"/>
      <c r="Q677" s="58"/>
    </row>
    <row r="678" spans="14:17" x14ac:dyDescent="0.25">
      <c r="N678" s="58"/>
      <c r="O678" s="58"/>
      <c r="P678" s="58"/>
      <c r="Q678" s="58"/>
    </row>
    <row r="679" spans="14:17" x14ac:dyDescent="0.25">
      <c r="N679" s="58"/>
      <c r="O679" s="58"/>
      <c r="P679" s="58"/>
      <c r="Q679" s="58"/>
    </row>
    <row r="680" spans="14:17" x14ac:dyDescent="0.25">
      <c r="N680" s="58"/>
      <c r="O680" s="58"/>
      <c r="P680" s="58"/>
      <c r="Q680" s="58"/>
    </row>
    <row r="681" spans="14:17" x14ac:dyDescent="0.25">
      <c r="N681" s="58"/>
      <c r="O681" s="58"/>
      <c r="P681" s="58"/>
      <c r="Q681" s="58"/>
    </row>
    <row r="682" spans="14:17" x14ac:dyDescent="0.25">
      <c r="N682" s="58"/>
      <c r="O682" s="58"/>
      <c r="P682" s="58"/>
      <c r="Q682" s="58"/>
    </row>
    <row r="683" spans="14:17" x14ac:dyDescent="0.25">
      <c r="N683" s="58"/>
      <c r="O683" s="58"/>
      <c r="P683" s="58"/>
      <c r="Q683" s="58"/>
    </row>
    <row r="684" spans="14:17" x14ac:dyDescent="0.25">
      <c r="N684" s="58"/>
      <c r="O684" s="58"/>
      <c r="P684" s="58"/>
      <c r="Q684" s="58"/>
    </row>
    <row r="685" spans="14:17" x14ac:dyDescent="0.25">
      <c r="N685" s="58"/>
      <c r="O685" s="58"/>
      <c r="P685" s="58"/>
      <c r="Q685" s="58"/>
    </row>
    <row r="686" spans="14:17" x14ac:dyDescent="0.25">
      <c r="N686" s="58"/>
      <c r="O686" s="58"/>
      <c r="P686" s="58"/>
      <c r="Q686" s="58"/>
    </row>
    <row r="687" spans="14:17" x14ac:dyDescent="0.25">
      <c r="N687" s="58"/>
      <c r="O687" s="58"/>
      <c r="P687" s="58"/>
      <c r="Q687" s="58"/>
    </row>
    <row r="688" spans="14:17" x14ac:dyDescent="0.25">
      <c r="N688" s="58"/>
      <c r="O688" s="58"/>
      <c r="P688" s="58"/>
      <c r="Q688" s="58"/>
    </row>
    <row r="689" spans="14:17" x14ac:dyDescent="0.25">
      <c r="N689" s="58"/>
      <c r="O689" s="58"/>
      <c r="P689" s="58"/>
      <c r="Q689" s="58"/>
    </row>
    <row r="690" spans="14:17" x14ac:dyDescent="0.25">
      <c r="N690" s="58"/>
      <c r="O690" s="58"/>
      <c r="P690" s="58"/>
      <c r="Q690" s="58"/>
    </row>
    <row r="691" spans="14:17" x14ac:dyDescent="0.25">
      <c r="N691" s="58"/>
      <c r="O691" s="58"/>
      <c r="P691" s="58"/>
      <c r="Q691" s="58"/>
    </row>
    <row r="692" spans="14:17" x14ac:dyDescent="0.25">
      <c r="N692" s="58"/>
      <c r="O692" s="58"/>
      <c r="P692" s="58"/>
      <c r="Q692" s="58"/>
    </row>
    <row r="693" spans="14:17" x14ac:dyDescent="0.25">
      <c r="N693" s="58"/>
      <c r="O693" s="58"/>
      <c r="P693" s="58"/>
      <c r="Q693" s="58"/>
    </row>
    <row r="694" spans="14:17" x14ac:dyDescent="0.25">
      <c r="N694" s="58"/>
      <c r="O694" s="58"/>
      <c r="P694" s="58"/>
      <c r="Q694" s="58"/>
    </row>
    <row r="695" spans="14:17" x14ac:dyDescent="0.25">
      <c r="N695" s="58"/>
      <c r="O695" s="58"/>
      <c r="P695" s="58"/>
      <c r="Q695" s="58"/>
    </row>
    <row r="696" spans="14:17" x14ac:dyDescent="0.25">
      <c r="N696" s="58"/>
      <c r="O696" s="58"/>
      <c r="P696" s="58"/>
      <c r="Q696" s="58"/>
    </row>
    <row r="697" spans="14:17" x14ac:dyDescent="0.25">
      <c r="N697" s="58"/>
      <c r="O697" s="58"/>
      <c r="P697" s="58"/>
      <c r="Q697" s="58"/>
    </row>
    <row r="698" spans="14:17" x14ac:dyDescent="0.25">
      <c r="N698" s="58"/>
      <c r="O698" s="58"/>
      <c r="P698" s="58"/>
      <c r="Q698" s="58"/>
    </row>
    <row r="699" spans="14:17" x14ac:dyDescent="0.25">
      <c r="N699" s="58"/>
      <c r="O699" s="58"/>
      <c r="P699" s="58"/>
      <c r="Q699" s="58"/>
    </row>
    <row r="700" spans="14:17" x14ac:dyDescent="0.25">
      <c r="N700" s="58"/>
      <c r="O700" s="58"/>
      <c r="P700" s="58"/>
      <c r="Q700" s="58"/>
    </row>
    <row r="701" spans="14:17" x14ac:dyDescent="0.25">
      <c r="N701" s="58"/>
      <c r="O701" s="58"/>
      <c r="P701" s="58"/>
      <c r="Q701" s="58"/>
    </row>
    <row r="702" spans="14:17" x14ac:dyDescent="0.25">
      <c r="N702" s="58"/>
      <c r="O702" s="58"/>
      <c r="P702" s="58"/>
      <c r="Q702" s="58"/>
    </row>
    <row r="703" spans="14:17" x14ac:dyDescent="0.25">
      <c r="N703" s="58"/>
      <c r="O703" s="58"/>
      <c r="P703" s="58"/>
      <c r="Q703" s="58"/>
    </row>
    <row r="704" spans="14:17" x14ac:dyDescent="0.25">
      <c r="N704" s="58"/>
      <c r="O704" s="58"/>
      <c r="P704" s="58"/>
      <c r="Q704" s="58"/>
    </row>
    <row r="705" spans="14:17" x14ac:dyDescent="0.25">
      <c r="N705" s="58"/>
      <c r="O705" s="58"/>
      <c r="P705" s="58"/>
      <c r="Q705" s="58"/>
    </row>
    <row r="706" spans="14:17" x14ac:dyDescent="0.25">
      <c r="N706" s="58"/>
      <c r="O706" s="58"/>
      <c r="P706" s="58"/>
      <c r="Q706" s="58"/>
    </row>
    <row r="707" spans="14:17" x14ac:dyDescent="0.25">
      <c r="N707" s="58"/>
      <c r="O707" s="58"/>
      <c r="P707" s="58"/>
      <c r="Q707" s="58"/>
    </row>
    <row r="708" spans="14:17" x14ac:dyDescent="0.25">
      <c r="N708" s="58"/>
      <c r="O708" s="58"/>
      <c r="P708" s="58"/>
      <c r="Q708" s="58"/>
    </row>
    <row r="709" spans="14:17" x14ac:dyDescent="0.25">
      <c r="N709" s="58"/>
      <c r="O709" s="58"/>
      <c r="P709" s="58"/>
      <c r="Q709" s="58"/>
    </row>
    <row r="710" spans="14:17" x14ac:dyDescent="0.25">
      <c r="N710" s="58"/>
      <c r="O710" s="58"/>
      <c r="P710" s="58"/>
      <c r="Q710" s="58"/>
    </row>
    <row r="711" spans="14:17" x14ac:dyDescent="0.25">
      <c r="N711" s="58"/>
      <c r="O711" s="58"/>
      <c r="P711" s="58"/>
      <c r="Q711" s="58"/>
    </row>
    <row r="712" spans="14:17" x14ac:dyDescent="0.25">
      <c r="N712" s="58"/>
      <c r="O712" s="58"/>
      <c r="P712" s="58"/>
      <c r="Q712" s="58"/>
    </row>
    <row r="713" spans="14:17" x14ac:dyDescent="0.25">
      <c r="N713" s="58"/>
      <c r="O713" s="58"/>
      <c r="P713" s="58"/>
      <c r="Q713" s="58"/>
    </row>
    <row r="714" spans="14:17" x14ac:dyDescent="0.25">
      <c r="N714" s="58"/>
      <c r="O714" s="58"/>
      <c r="P714" s="58"/>
      <c r="Q714" s="58"/>
    </row>
    <row r="715" spans="14:17" x14ac:dyDescent="0.25">
      <c r="N715" s="58"/>
      <c r="O715" s="58"/>
      <c r="P715" s="58"/>
      <c r="Q715" s="58"/>
    </row>
    <row r="716" spans="14:17" x14ac:dyDescent="0.25">
      <c r="N716" s="58"/>
      <c r="O716" s="58"/>
      <c r="P716" s="58"/>
      <c r="Q716" s="58"/>
    </row>
    <row r="717" spans="14:17" x14ac:dyDescent="0.25">
      <c r="N717" s="58"/>
      <c r="O717" s="58"/>
      <c r="P717" s="58"/>
      <c r="Q717" s="58"/>
    </row>
    <row r="718" spans="14:17" x14ac:dyDescent="0.25">
      <c r="N718" s="58"/>
      <c r="O718" s="58"/>
      <c r="P718" s="58"/>
      <c r="Q718" s="58"/>
    </row>
    <row r="719" spans="14:17" x14ac:dyDescent="0.25">
      <c r="N719" s="58"/>
      <c r="O719" s="58"/>
      <c r="P719" s="58"/>
      <c r="Q719" s="58"/>
    </row>
    <row r="720" spans="14:17" x14ac:dyDescent="0.25">
      <c r="N720" s="58"/>
      <c r="O720" s="58"/>
      <c r="P720" s="58"/>
      <c r="Q720" s="58"/>
    </row>
    <row r="721" spans="14:17" x14ac:dyDescent="0.25">
      <c r="N721" s="58"/>
      <c r="O721" s="58"/>
      <c r="P721" s="58"/>
      <c r="Q721" s="58"/>
    </row>
    <row r="722" spans="14:17" x14ac:dyDescent="0.25">
      <c r="N722" s="58"/>
      <c r="O722" s="58"/>
      <c r="P722" s="58"/>
      <c r="Q722" s="58"/>
    </row>
    <row r="723" spans="14:17" x14ac:dyDescent="0.25">
      <c r="N723" s="58"/>
      <c r="O723" s="58"/>
      <c r="P723" s="58"/>
      <c r="Q723" s="58"/>
    </row>
    <row r="724" spans="14:17" x14ac:dyDescent="0.25">
      <c r="N724" s="58"/>
      <c r="O724" s="58"/>
      <c r="P724" s="58"/>
      <c r="Q724" s="58"/>
    </row>
    <row r="725" spans="14:17" x14ac:dyDescent="0.25">
      <c r="N725" s="58"/>
      <c r="O725" s="58"/>
      <c r="P725" s="58"/>
      <c r="Q725" s="58"/>
    </row>
    <row r="726" spans="14:17" x14ac:dyDescent="0.25">
      <c r="N726" s="58"/>
      <c r="O726" s="58"/>
      <c r="P726" s="58"/>
      <c r="Q726" s="58"/>
    </row>
    <row r="727" spans="14:17" x14ac:dyDescent="0.25">
      <c r="N727" s="58"/>
      <c r="O727" s="58"/>
      <c r="P727" s="58"/>
      <c r="Q727" s="58"/>
    </row>
    <row r="728" spans="14:17" x14ac:dyDescent="0.25">
      <c r="N728" s="58"/>
      <c r="O728" s="58"/>
      <c r="P728" s="58"/>
      <c r="Q728" s="58"/>
    </row>
    <row r="729" spans="14:17" x14ac:dyDescent="0.25">
      <c r="N729" s="58"/>
      <c r="O729" s="58"/>
      <c r="P729" s="58"/>
      <c r="Q729" s="58"/>
    </row>
    <row r="730" spans="14:17" x14ac:dyDescent="0.25">
      <c r="N730" s="58"/>
      <c r="O730" s="58"/>
      <c r="P730" s="58"/>
      <c r="Q730" s="58"/>
    </row>
    <row r="731" spans="14:17" x14ac:dyDescent="0.25">
      <c r="N731" s="58"/>
      <c r="O731" s="58"/>
      <c r="P731" s="58"/>
      <c r="Q731" s="58"/>
    </row>
    <row r="732" spans="14:17" x14ac:dyDescent="0.25">
      <c r="N732" s="58"/>
      <c r="O732" s="58"/>
      <c r="P732" s="58"/>
      <c r="Q732" s="58"/>
    </row>
    <row r="733" spans="14:17" x14ac:dyDescent="0.25">
      <c r="N733" s="58"/>
      <c r="O733" s="58"/>
      <c r="P733" s="58"/>
      <c r="Q733" s="58"/>
    </row>
    <row r="734" spans="14:17" x14ac:dyDescent="0.25">
      <c r="N734" s="58"/>
      <c r="O734" s="58"/>
      <c r="P734" s="58"/>
      <c r="Q734" s="58"/>
    </row>
    <row r="735" spans="14:17" x14ac:dyDescent="0.25">
      <c r="N735" s="58"/>
      <c r="O735" s="58"/>
      <c r="P735" s="58"/>
      <c r="Q735" s="58"/>
    </row>
    <row r="736" spans="14:17" x14ac:dyDescent="0.25">
      <c r="N736" s="58"/>
      <c r="O736" s="58"/>
      <c r="P736" s="58"/>
      <c r="Q736" s="58"/>
    </row>
    <row r="737" spans="14:17" x14ac:dyDescent="0.25">
      <c r="N737" s="58"/>
      <c r="O737" s="58"/>
      <c r="P737" s="58"/>
      <c r="Q737" s="58"/>
    </row>
    <row r="738" spans="14:17" x14ac:dyDescent="0.25">
      <c r="N738" s="58"/>
      <c r="O738" s="58"/>
      <c r="P738" s="58"/>
      <c r="Q738" s="58"/>
    </row>
    <row r="739" spans="14:17" x14ac:dyDescent="0.25">
      <c r="N739" s="58"/>
      <c r="O739" s="58"/>
      <c r="P739" s="58"/>
      <c r="Q739" s="58"/>
    </row>
    <row r="740" spans="14:17" x14ac:dyDescent="0.25">
      <c r="N740" s="58"/>
      <c r="O740" s="58"/>
      <c r="P740" s="58"/>
      <c r="Q740" s="58"/>
    </row>
    <row r="741" spans="14:17" x14ac:dyDescent="0.25">
      <c r="N741" s="58"/>
      <c r="O741" s="58"/>
      <c r="P741" s="58"/>
      <c r="Q741" s="58"/>
    </row>
    <row r="742" spans="14:17" x14ac:dyDescent="0.25">
      <c r="N742" s="58"/>
      <c r="O742" s="58"/>
      <c r="P742" s="58"/>
      <c r="Q742" s="58"/>
    </row>
    <row r="743" spans="14:17" x14ac:dyDescent="0.25">
      <c r="N743" s="58"/>
      <c r="O743" s="58"/>
      <c r="P743" s="58"/>
      <c r="Q743" s="58"/>
    </row>
    <row r="744" spans="14:17" x14ac:dyDescent="0.25">
      <c r="N744" s="58"/>
      <c r="O744" s="58"/>
      <c r="P744" s="58"/>
      <c r="Q744" s="58"/>
    </row>
    <row r="745" spans="14:17" x14ac:dyDescent="0.25">
      <c r="N745" s="58"/>
      <c r="O745" s="58"/>
      <c r="P745" s="58"/>
      <c r="Q745" s="58"/>
    </row>
    <row r="746" spans="14:17" x14ac:dyDescent="0.25">
      <c r="N746" s="58"/>
      <c r="O746" s="58"/>
      <c r="P746" s="58"/>
      <c r="Q746" s="58"/>
    </row>
    <row r="747" spans="14:17" x14ac:dyDescent="0.25">
      <c r="N747" s="58"/>
      <c r="O747" s="58"/>
      <c r="P747" s="58"/>
      <c r="Q747" s="58"/>
    </row>
    <row r="748" spans="14:17" x14ac:dyDescent="0.25">
      <c r="N748" s="58"/>
      <c r="O748" s="58"/>
      <c r="P748" s="58"/>
      <c r="Q748" s="58"/>
    </row>
    <row r="749" spans="14:17" x14ac:dyDescent="0.25">
      <c r="N749" s="58"/>
      <c r="O749" s="58"/>
      <c r="P749" s="58"/>
      <c r="Q749" s="58"/>
    </row>
    <row r="750" spans="14:17" x14ac:dyDescent="0.25">
      <c r="N750" s="58"/>
      <c r="O750" s="58"/>
      <c r="P750" s="58"/>
      <c r="Q750" s="58"/>
    </row>
    <row r="751" spans="14:17" x14ac:dyDescent="0.25">
      <c r="N751" s="58"/>
      <c r="O751" s="58"/>
      <c r="P751" s="58"/>
      <c r="Q751" s="58"/>
    </row>
    <row r="752" spans="14:17" x14ac:dyDescent="0.25">
      <c r="N752" s="58"/>
      <c r="O752" s="58"/>
      <c r="P752" s="58"/>
      <c r="Q752" s="58"/>
    </row>
    <row r="753" spans="14:17" x14ac:dyDescent="0.25">
      <c r="N753" s="58"/>
      <c r="O753" s="58"/>
      <c r="P753" s="58"/>
      <c r="Q753" s="58"/>
    </row>
    <row r="754" spans="14:17" x14ac:dyDescent="0.25">
      <c r="N754" s="58"/>
      <c r="O754" s="58"/>
      <c r="P754" s="58"/>
      <c r="Q754" s="58"/>
    </row>
    <row r="755" spans="14:17" x14ac:dyDescent="0.25">
      <c r="N755" s="58"/>
      <c r="O755" s="58"/>
      <c r="P755" s="58"/>
      <c r="Q755" s="58"/>
    </row>
    <row r="756" spans="14:17" x14ac:dyDescent="0.25">
      <c r="N756" s="58"/>
      <c r="O756" s="58"/>
      <c r="P756" s="58"/>
      <c r="Q756" s="58"/>
    </row>
    <row r="757" spans="14:17" x14ac:dyDescent="0.25">
      <c r="N757" s="58"/>
      <c r="O757" s="58"/>
      <c r="P757" s="58"/>
      <c r="Q757" s="58"/>
    </row>
    <row r="758" spans="14:17" x14ac:dyDescent="0.25">
      <c r="N758" s="58"/>
      <c r="O758" s="58"/>
      <c r="P758" s="58"/>
      <c r="Q758" s="58"/>
    </row>
    <row r="759" spans="14:17" x14ac:dyDescent="0.25">
      <c r="N759" s="58"/>
      <c r="O759" s="58"/>
      <c r="P759" s="58"/>
      <c r="Q759" s="58"/>
    </row>
    <row r="760" spans="14:17" x14ac:dyDescent="0.25">
      <c r="N760" s="58"/>
      <c r="O760" s="58"/>
      <c r="P760" s="58"/>
      <c r="Q760" s="58"/>
    </row>
    <row r="761" spans="14:17" x14ac:dyDescent="0.25">
      <c r="N761" s="58"/>
      <c r="O761" s="58"/>
      <c r="P761" s="58"/>
      <c r="Q761" s="58"/>
    </row>
    <row r="762" spans="14:17" x14ac:dyDescent="0.25">
      <c r="N762" s="58"/>
      <c r="O762" s="58"/>
      <c r="P762" s="58"/>
      <c r="Q762" s="58"/>
    </row>
    <row r="763" spans="14:17" x14ac:dyDescent="0.25">
      <c r="N763" s="58"/>
      <c r="O763" s="58"/>
      <c r="P763" s="58"/>
      <c r="Q763" s="58"/>
    </row>
    <row r="764" spans="14:17" x14ac:dyDescent="0.25">
      <c r="N764" s="58"/>
      <c r="O764" s="58"/>
      <c r="P764" s="58"/>
      <c r="Q764" s="58"/>
    </row>
    <row r="765" spans="14:17" x14ac:dyDescent="0.25">
      <c r="N765" s="58"/>
      <c r="O765" s="58"/>
      <c r="P765" s="58"/>
      <c r="Q765" s="58"/>
    </row>
    <row r="766" spans="14:17" x14ac:dyDescent="0.25">
      <c r="N766" s="58"/>
      <c r="O766" s="58"/>
      <c r="P766" s="58"/>
      <c r="Q766" s="58"/>
    </row>
    <row r="767" spans="14:17" x14ac:dyDescent="0.25">
      <c r="N767" s="58"/>
      <c r="O767" s="58"/>
      <c r="P767" s="58"/>
      <c r="Q767" s="58"/>
    </row>
    <row r="768" spans="14:17" x14ac:dyDescent="0.25">
      <c r="N768" s="58"/>
      <c r="O768" s="58"/>
      <c r="P768" s="58"/>
      <c r="Q768" s="58"/>
    </row>
    <row r="769" spans="14:17" x14ac:dyDescent="0.25">
      <c r="N769" s="58"/>
      <c r="O769" s="58"/>
      <c r="P769" s="58"/>
      <c r="Q769" s="58"/>
    </row>
    <row r="770" spans="14:17" x14ac:dyDescent="0.25">
      <c r="N770" s="58"/>
      <c r="O770" s="58"/>
      <c r="P770" s="58"/>
      <c r="Q770" s="58"/>
    </row>
    <row r="771" spans="14:17" x14ac:dyDescent="0.25">
      <c r="N771" s="58"/>
      <c r="O771" s="58"/>
      <c r="P771" s="58"/>
      <c r="Q771" s="58"/>
    </row>
    <row r="772" spans="14:17" x14ac:dyDescent="0.25">
      <c r="N772" s="58"/>
      <c r="O772" s="58"/>
      <c r="P772" s="58"/>
      <c r="Q772" s="58"/>
    </row>
    <row r="773" spans="14:17" x14ac:dyDescent="0.25">
      <c r="N773" s="58"/>
      <c r="O773" s="58"/>
      <c r="P773" s="58"/>
      <c r="Q773" s="58"/>
    </row>
    <row r="774" spans="14:17" x14ac:dyDescent="0.25">
      <c r="N774" s="58"/>
      <c r="O774" s="58"/>
      <c r="P774" s="58"/>
      <c r="Q774" s="58"/>
    </row>
    <row r="775" spans="14:17" x14ac:dyDescent="0.25">
      <c r="N775" s="58"/>
      <c r="O775" s="58"/>
      <c r="P775" s="58"/>
      <c r="Q775" s="58"/>
    </row>
    <row r="776" spans="14:17" x14ac:dyDescent="0.25">
      <c r="N776" s="58"/>
      <c r="O776" s="58"/>
      <c r="P776" s="58"/>
      <c r="Q776" s="58"/>
    </row>
    <row r="777" spans="14:17" x14ac:dyDescent="0.25">
      <c r="N777" s="58"/>
      <c r="O777" s="58"/>
      <c r="P777" s="58"/>
      <c r="Q777" s="58"/>
    </row>
    <row r="778" spans="14:17" x14ac:dyDescent="0.25">
      <c r="N778" s="58"/>
      <c r="O778" s="58"/>
      <c r="P778" s="58"/>
      <c r="Q778" s="58"/>
    </row>
    <row r="779" spans="14:17" x14ac:dyDescent="0.25">
      <c r="N779" s="58"/>
      <c r="O779" s="58"/>
      <c r="P779" s="58"/>
      <c r="Q779" s="58"/>
    </row>
    <row r="780" spans="14:17" x14ac:dyDescent="0.25">
      <c r="N780" s="58"/>
      <c r="O780" s="58"/>
      <c r="P780" s="58"/>
      <c r="Q780" s="58"/>
    </row>
    <row r="781" spans="14:17" x14ac:dyDescent="0.25">
      <c r="N781" s="58"/>
      <c r="O781" s="58"/>
      <c r="P781" s="58"/>
      <c r="Q781" s="58"/>
    </row>
    <row r="782" spans="14:17" x14ac:dyDescent="0.25">
      <c r="N782" s="58"/>
      <c r="O782" s="58"/>
      <c r="P782" s="58"/>
      <c r="Q782" s="58"/>
    </row>
    <row r="783" spans="14:17" x14ac:dyDescent="0.25">
      <c r="N783" s="58"/>
      <c r="O783" s="58"/>
      <c r="P783" s="58"/>
      <c r="Q783" s="58"/>
    </row>
    <row r="784" spans="14:17" x14ac:dyDescent="0.25">
      <c r="N784" s="58"/>
      <c r="O784" s="58"/>
      <c r="P784" s="58"/>
      <c r="Q784" s="58"/>
    </row>
    <row r="785" spans="14:17" x14ac:dyDescent="0.25">
      <c r="N785" s="58"/>
      <c r="O785" s="58"/>
      <c r="P785" s="58"/>
      <c r="Q785" s="58"/>
    </row>
    <row r="786" spans="14:17" x14ac:dyDescent="0.25">
      <c r="N786" s="58"/>
      <c r="O786" s="58"/>
      <c r="P786" s="58"/>
      <c r="Q786" s="58"/>
    </row>
    <row r="787" spans="14:17" x14ac:dyDescent="0.25">
      <c r="N787" s="58"/>
      <c r="O787" s="58"/>
      <c r="P787" s="58"/>
      <c r="Q787" s="58"/>
    </row>
    <row r="788" spans="14:17" x14ac:dyDescent="0.25">
      <c r="N788" s="58"/>
      <c r="O788" s="58"/>
      <c r="P788" s="58"/>
      <c r="Q788" s="58"/>
    </row>
    <row r="789" spans="14:17" x14ac:dyDescent="0.25">
      <c r="N789" s="58"/>
      <c r="O789" s="58"/>
      <c r="P789" s="58"/>
      <c r="Q789" s="58"/>
    </row>
    <row r="790" spans="14:17" x14ac:dyDescent="0.25">
      <c r="N790" s="58"/>
      <c r="O790" s="58"/>
      <c r="P790" s="58"/>
      <c r="Q790" s="58"/>
    </row>
    <row r="791" spans="14:17" x14ac:dyDescent="0.25">
      <c r="N791" s="58"/>
      <c r="O791" s="58"/>
      <c r="P791" s="58"/>
      <c r="Q791" s="58"/>
    </row>
    <row r="792" spans="14:17" x14ac:dyDescent="0.25">
      <c r="N792" s="58"/>
      <c r="O792" s="58"/>
      <c r="P792" s="58"/>
      <c r="Q792" s="58"/>
    </row>
    <row r="793" spans="14:17" x14ac:dyDescent="0.25">
      <c r="N793" s="58"/>
      <c r="O793" s="58"/>
      <c r="P793" s="58"/>
      <c r="Q793" s="58"/>
    </row>
    <row r="794" spans="14:17" x14ac:dyDescent="0.25">
      <c r="N794" s="58"/>
      <c r="O794" s="58"/>
      <c r="P794" s="58"/>
      <c r="Q794" s="58"/>
    </row>
    <row r="795" spans="14:17" x14ac:dyDescent="0.25">
      <c r="N795" s="58"/>
      <c r="O795" s="58"/>
      <c r="P795" s="58"/>
      <c r="Q795" s="58"/>
    </row>
    <row r="796" spans="14:17" x14ac:dyDescent="0.25">
      <c r="N796" s="58"/>
      <c r="O796" s="58"/>
      <c r="P796" s="58"/>
      <c r="Q796" s="58"/>
    </row>
    <row r="797" spans="14:17" x14ac:dyDescent="0.25">
      <c r="N797" s="58"/>
      <c r="O797" s="58"/>
      <c r="P797" s="58"/>
      <c r="Q797" s="58"/>
    </row>
    <row r="798" spans="14:17" x14ac:dyDescent="0.25">
      <c r="N798" s="58"/>
      <c r="O798" s="58"/>
      <c r="P798" s="58"/>
      <c r="Q798" s="58"/>
    </row>
    <row r="799" spans="14:17" x14ac:dyDescent="0.25">
      <c r="N799" s="58"/>
      <c r="O799" s="58"/>
      <c r="P799" s="58"/>
      <c r="Q799" s="58"/>
    </row>
    <row r="800" spans="14:17" x14ac:dyDescent="0.25">
      <c r="N800" s="58"/>
      <c r="O800" s="58"/>
      <c r="P800" s="58"/>
      <c r="Q800" s="58"/>
    </row>
    <row r="801" spans="14:17" x14ac:dyDescent="0.25">
      <c r="N801" s="58"/>
      <c r="O801" s="58"/>
      <c r="P801" s="58"/>
      <c r="Q801" s="58"/>
    </row>
    <row r="802" spans="14:17" x14ac:dyDescent="0.25">
      <c r="N802" s="58"/>
      <c r="O802" s="58"/>
      <c r="P802" s="58"/>
      <c r="Q802" s="58"/>
    </row>
    <row r="803" spans="14:17" x14ac:dyDescent="0.25">
      <c r="N803" s="58"/>
      <c r="O803" s="58"/>
      <c r="P803" s="58"/>
      <c r="Q803" s="58"/>
    </row>
    <row r="804" spans="14:17" x14ac:dyDescent="0.25">
      <c r="N804" s="58"/>
      <c r="O804" s="58"/>
      <c r="P804" s="58"/>
      <c r="Q804" s="58"/>
    </row>
    <row r="805" spans="14:17" x14ac:dyDescent="0.25">
      <c r="N805" s="58"/>
      <c r="O805" s="58"/>
      <c r="P805" s="58"/>
      <c r="Q805" s="58"/>
    </row>
    <row r="806" spans="14:17" x14ac:dyDescent="0.25">
      <c r="N806" s="58"/>
      <c r="O806" s="58"/>
      <c r="P806" s="58"/>
      <c r="Q806" s="58"/>
    </row>
    <row r="807" spans="14:17" x14ac:dyDescent="0.25">
      <c r="N807" s="58"/>
      <c r="O807" s="58"/>
      <c r="P807" s="58"/>
      <c r="Q807" s="58"/>
    </row>
    <row r="808" spans="14:17" x14ac:dyDescent="0.25">
      <c r="N808" s="58"/>
      <c r="O808" s="58"/>
      <c r="P808" s="58"/>
      <c r="Q808" s="58"/>
    </row>
    <row r="809" spans="14:17" x14ac:dyDescent="0.25">
      <c r="N809" s="58"/>
      <c r="O809" s="58"/>
      <c r="P809" s="58"/>
      <c r="Q809" s="58"/>
    </row>
    <row r="810" spans="14:17" x14ac:dyDescent="0.25">
      <c r="N810" s="58"/>
      <c r="O810" s="58"/>
      <c r="P810" s="58"/>
      <c r="Q810" s="58"/>
    </row>
    <row r="811" spans="14:17" x14ac:dyDescent="0.25">
      <c r="N811" s="58"/>
      <c r="O811" s="58"/>
      <c r="P811" s="58"/>
      <c r="Q811" s="58"/>
    </row>
    <row r="812" spans="14:17" x14ac:dyDescent="0.25">
      <c r="N812" s="58"/>
      <c r="O812" s="58"/>
      <c r="P812" s="58"/>
      <c r="Q812" s="58"/>
    </row>
    <row r="813" spans="14:17" x14ac:dyDescent="0.25">
      <c r="N813" s="58"/>
      <c r="O813" s="58"/>
      <c r="P813" s="58"/>
      <c r="Q813" s="58"/>
    </row>
    <row r="814" spans="14:17" x14ac:dyDescent="0.25">
      <c r="N814" s="58"/>
      <c r="O814" s="58"/>
      <c r="P814" s="58"/>
      <c r="Q814" s="58"/>
    </row>
    <row r="815" spans="14:17" x14ac:dyDescent="0.25">
      <c r="N815" s="58"/>
      <c r="O815" s="58"/>
      <c r="P815" s="58"/>
      <c r="Q815" s="58"/>
    </row>
    <row r="816" spans="14:17" x14ac:dyDescent="0.25">
      <c r="N816" s="58"/>
      <c r="O816" s="58"/>
      <c r="P816" s="58"/>
      <c r="Q816" s="58"/>
    </row>
    <row r="817" spans="14:17" x14ac:dyDescent="0.25">
      <c r="N817" s="58"/>
      <c r="O817" s="58"/>
      <c r="P817" s="58"/>
      <c r="Q817" s="58"/>
    </row>
    <row r="818" spans="14:17" x14ac:dyDescent="0.25">
      <c r="N818" s="58"/>
      <c r="O818" s="58"/>
      <c r="P818" s="58"/>
      <c r="Q818" s="58"/>
    </row>
    <row r="819" spans="14:17" x14ac:dyDescent="0.25">
      <c r="N819" s="58"/>
      <c r="O819" s="58"/>
      <c r="P819" s="58"/>
      <c r="Q819" s="58"/>
    </row>
    <row r="820" spans="14:17" x14ac:dyDescent="0.25">
      <c r="N820" s="58"/>
      <c r="O820" s="58"/>
      <c r="P820" s="58"/>
      <c r="Q820" s="58"/>
    </row>
    <row r="821" spans="14:17" x14ac:dyDescent="0.25">
      <c r="N821" s="58"/>
      <c r="O821" s="58"/>
      <c r="P821" s="58"/>
      <c r="Q821" s="58"/>
    </row>
    <row r="822" spans="14:17" x14ac:dyDescent="0.25">
      <c r="N822" s="58"/>
      <c r="O822" s="58"/>
      <c r="P822" s="58"/>
      <c r="Q822" s="58"/>
    </row>
    <row r="823" spans="14:17" x14ac:dyDescent="0.25">
      <c r="N823" s="58"/>
      <c r="O823" s="58"/>
      <c r="P823" s="58"/>
      <c r="Q823" s="58"/>
    </row>
    <row r="824" spans="14:17" x14ac:dyDescent="0.25">
      <c r="N824" s="58"/>
      <c r="O824" s="58"/>
      <c r="P824" s="58"/>
      <c r="Q824" s="58"/>
    </row>
    <row r="825" spans="14:17" x14ac:dyDescent="0.25">
      <c r="N825" s="58"/>
      <c r="O825" s="58"/>
      <c r="P825" s="58"/>
      <c r="Q825" s="58"/>
    </row>
    <row r="826" spans="14:17" x14ac:dyDescent="0.25">
      <c r="N826" s="58"/>
      <c r="O826" s="58"/>
      <c r="P826" s="58"/>
      <c r="Q826" s="58"/>
    </row>
    <row r="827" spans="14:17" x14ac:dyDescent="0.25">
      <c r="N827" s="58"/>
      <c r="O827" s="58"/>
      <c r="P827" s="58"/>
      <c r="Q827" s="58"/>
    </row>
    <row r="828" spans="14:17" x14ac:dyDescent="0.25">
      <c r="N828" s="58"/>
      <c r="O828" s="58"/>
      <c r="P828" s="58"/>
      <c r="Q828" s="58"/>
    </row>
    <row r="829" spans="14:17" x14ac:dyDescent="0.25">
      <c r="N829" s="58"/>
      <c r="O829" s="58"/>
      <c r="P829" s="58"/>
      <c r="Q829" s="58"/>
    </row>
    <row r="830" spans="14:17" x14ac:dyDescent="0.25">
      <c r="N830" s="58"/>
      <c r="O830" s="58"/>
      <c r="P830" s="58"/>
      <c r="Q830" s="58"/>
    </row>
    <row r="831" spans="14:17" x14ac:dyDescent="0.25">
      <c r="N831" s="58"/>
      <c r="O831" s="58"/>
      <c r="P831" s="58"/>
      <c r="Q831" s="58"/>
    </row>
    <row r="832" spans="14:17" x14ac:dyDescent="0.25">
      <c r="N832" s="58"/>
      <c r="O832" s="58"/>
      <c r="P832" s="58"/>
      <c r="Q832" s="58"/>
    </row>
    <row r="833" spans="14:17" x14ac:dyDescent="0.25">
      <c r="N833" s="58"/>
      <c r="O833" s="58"/>
      <c r="P833" s="58"/>
      <c r="Q833" s="58"/>
    </row>
    <row r="834" spans="14:17" x14ac:dyDescent="0.25">
      <c r="N834" s="58"/>
      <c r="O834" s="58"/>
      <c r="P834" s="58"/>
      <c r="Q834" s="58"/>
    </row>
    <row r="835" spans="14:17" x14ac:dyDescent="0.25">
      <c r="N835" s="58"/>
      <c r="O835" s="58"/>
      <c r="P835" s="58"/>
      <c r="Q835" s="58"/>
    </row>
    <row r="836" spans="14:17" x14ac:dyDescent="0.25">
      <c r="N836" s="58"/>
      <c r="O836" s="58"/>
      <c r="P836" s="58"/>
      <c r="Q836" s="58"/>
    </row>
    <row r="837" spans="14:17" x14ac:dyDescent="0.25">
      <c r="N837" s="58"/>
      <c r="O837" s="58"/>
      <c r="P837" s="58"/>
      <c r="Q837" s="58"/>
    </row>
    <row r="838" spans="14:17" x14ac:dyDescent="0.25">
      <c r="N838" s="58"/>
      <c r="O838" s="58"/>
      <c r="P838" s="58"/>
      <c r="Q838" s="58"/>
    </row>
    <row r="839" spans="14:17" x14ac:dyDescent="0.25">
      <c r="N839" s="58"/>
      <c r="O839" s="58"/>
      <c r="P839" s="58"/>
      <c r="Q839" s="58"/>
    </row>
    <row r="840" spans="14:17" x14ac:dyDescent="0.25">
      <c r="N840" s="58"/>
      <c r="O840" s="58"/>
      <c r="P840" s="58"/>
      <c r="Q840" s="58"/>
    </row>
    <row r="841" spans="14:17" x14ac:dyDescent="0.25">
      <c r="N841" s="58"/>
      <c r="O841" s="58"/>
      <c r="P841" s="58"/>
      <c r="Q841" s="58"/>
    </row>
    <row r="842" spans="14:17" x14ac:dyDescent="0.25">
      <c r="N842" s="58"/>
      <c r="O842" s="58"/>
      <c r="P842" s="58"/>
      <c r="Q842" s="58"/>
    </row>
    <row r="843" spans="14:17" x14ac:dyDescent="0.25">
      <c r="N843" s="58"/>
      <c r="O843" s="58"/>
      <c r="P843" s="58"/>
      <c r="Q843" s="58"/>
    </row>
    <row r="844" spans="14:17" x14ac:dyDescent="0.25">
      <c r="N844" s="58"/>
      <c r="O844" s="58"/>
      <c r="P844" s="58"/>
      <c r="Q844" s="58"/>
    </row>
    <row r="845" spans="14:17" x14ac:dyDescent="0.25">
      <c r="N845" s="58"/>
      <c r="O845" s="58"/>
      <c r="P845" s="58"/>
      <c r="Q845" s="58"/>
    </row>
    <row r="846" spans="14:17" x14ac:dyDescent="0.25">
      <c r="N846" s="58"/>
      <c r="O846" s="58"/>
      <c r="P846" s="58"/>
      <c r="Q846" s="58"/>
    </row>
    <row r="847" spans="14:17" x14ac:dyDescent="0.25">
      <c r="N847" s="58"/>
      <c r="O847" s="58"/>
      <c r="P847" s="58"/>
      <c r="Q847" s="58"/>
    </row>
    <row r="848" spans="14:17" x14ac:dyDescent="0.25">
      <c r="N848" s="58"/>
      <c r="O848" s="58"/>
      <c r="P848" s="58"/>
      <c r="Q848" s="58"/>
    </row>
    <row r="849" spans="14:17" x14ac:dyDescent="0.25">
      <c r="N849" s="58"/>
      <c r="O849" s="58"/>
      <c r="P849" s="58"/>
      <c r="Q849" s="58"/>
    </row>
    <row r="850" spans="14:17" x14ac:dyDescent="0.25">
      <c r="N850" s="58"/>
      <c r="O850" s="58"/>
      <c r="P850" s="58"/>
      <c r="Q850" s="58"/>
    </row>
    <row r="851" spans="14:17" x14ac:dyDescent="0.25">
      <c r="N851" s="58"/>
      <c r="O851" s="58"/>
      <c r="P851" s="58"/>
      <c r="Q851" s="58"/>
    </row>
    <row r="852" spans="14:17" x14ac:dyDescent="0.25">
      <c r="N852" s="58"/>
      <c r="O852" s="58"/>
      <c r="P852" s="58"/>
      <c r="Q852" s="58"/>
    </row>
    <row r="853" spans="14:17" x14ac:dyDescent="0.25">
      <c r="N853" s="58"/>
      <c r="O853" s="58"/>
      <c r="P853" s="58"/>
      <c r="Q853" s="58"/>
    </row>
    <row r="854" spans="14:17" x14ac:dyDescent="0.25">
      <c r="N854" s="58"/>
      <c r="O854" s="58"/>
      <c r="P854" s="58"/>
      <c r="Q854" s="58"/>
    </row>
    <row r="855" spans="14:17" x14ac:dyDescent="0.25">
      <c r="N855" s="58"/>
      <c r="O855" s="58"/>
      <c r="P855" s="58"/>
      <c r="Q855" s="58"/>
    </row>
    <row r="856" spans="14:17" x14ac:dyDescent="0.25">
      <c r="N856" s="58"/>
      <c r="O856" s="58"/>
      <c r="P856" s="58"/>
      <c r="Q856" s="58"/>
    </row>
    <row r="857" spans="14:17" x14ac:dyDescent="0.25">
      <c r="N857" s="58"/>
      <c r="O857" s="58"/>
      <c r="P857" s="58"/>
      <c r="Q857" s="58"/>
    </row>
    <row r="858" spans="14:17" x14ac:dyDescent="0.25">
      <c r="N858" s="58"/>
      <c r="O858" s="58"/>
      <c r="P858" s="58"/>
      <c r="Q858" s="58"/>
    </row>
    <row r="859" spans="14:17" x14ac:dyDescent="0.25">
      <c r="N859" s="58"/>
      <c r="O859" s="58"/>
      <c r="P859" s="58"/>
      <c r="Q859" s="58"/>
    </row>
    <row r="860" spans="14:17" x14ac:dyDescent="0.25">
      <c r="N860" s="58"/>
      <c r="O860" s="58"/>
      <c r="P860" s="58"/>
      <c r="Q860" s="58"/>
    </row>
    <row r="861" spans="14:17" x14ac:dyDescent="0.25">
      <c r="N861" s="58"/>
      <c r="O861" s="58"/>
      <c r="P861" s="58"/>
      <c r="Q861" s="58"/>
    </row>
    <row r="862" spans="14:17" x14ac:dyDescent="0.25">
      <c r="N862" s="58"/>
      <c r="O862" s="58"/>
      <c r="P862" s="58"/>
      <c r="Q862" s="58"/>
    </row>
    <row r="863" spans="14:17" x14ac:dyDescent="0.25">
      <c r="N863" s="58"/>
      <c r="O863" s="58"/>
      <c r="P863" s="58"/>
      <c r="Q863" s="58"/>
    </row>
    <row r="864" spans="14:17" x14ac:dyDescent="0.25">
      <c r="N864" s="58"/>
      <c r="O864" s="58"/>
      <c r="P864" s="58"/>
      <c r="Q864" s="58"/>
    </row>
    <row r="865" spans="14:17" x14ac:dyDescent="0.25">
      <c r="N865" s="58"/>
      <c r="O865" s="58"/>
      <c r="P865" s="58"/>
      <c r="Q865" s="58"/>
    </row>
    <row r="866" spans="14:17" x14ac:dyDescent="0.25">
      <c r="N866" s="58"/>
      <c r="O866" s="58"/>
      <c r="P866" s="58"/>
      <c r="Q866" s="58"/>
    </row>
    <row r="867" spans="14:17" x14ac:dyDescent="0.25">
      <c r="N867" s="58"/>
      <c r="O867" s="58"/>
      <c r="P867" s="58"/>
      <c r="Q867" s="58"/>
    </row>
    <row r="868" spans="14:17" x14ac:dyDescent="0.25">
      <c r="N868" s="58"/>
      <c r="O868" s="58"/>
      <c r="P868" s="58"/>
      <c r="Q868" s="58"/>
    </row>
    <row r="869" spans="14:17" x14ac:dyDescent="0.25">
      <c r="N869" s="58"/>
      <c r="O869" s="58"/>
      <c r="P869" s="58"/>
      <c r="Q869" s="58"/>
    </row>
    <row r="870" spans="14:17" x14ac:dyDescent="0.25">
      <c r="N870" s="58"/>
      <c r="O870" s="58"/>
      <c r="P870" s="58"/>
      <c r="Q870" s="58"/>
    </row>
    <row r="871" spans="14:17" x14ac:dyDescent="0.25">
      <c r="N871" s="58"/>
      <c r="O871" s="58"/>
      <c r="P871" s="58"/>
      <c r="Q871" s="58"/>
    </row>
    <row r="872" spans="14:17" x14ac:dyDescent="0.25">
      <c r="N872" s="58"/>
      <c r="O872" s="58"/>
      <c r="P872" s="58"/>
      <c r="Q872" s="58"/>
    </row>
    <row r="873" spans="14:17" x14ac:dyDescent="0.25">
      <c r="N873" s="58"/>
      <c r="O873" s="58"/>
      <c r="P873" s="58"/>
      <c r="Q873" s="58"/>
    </row>
    <row r="874" spans="14:17" x14ac:dyDescent="0.25">
      <c r="N874" s="58"/>
      <c r="O874" s="58"/>
      <c r="P874" s="58"/>
      <c r="Q874" s="58"/>
    </row>
    <row r="875" spans="14:17" x14ac:dyDescent="0.25">
      <c r="N875" s="58"/>
      <c r="O875" s="58"/>
      <c r="P875" s="58"/>
      <c r="Q875" s="58"/>
    </row>
    <row r="876" spans="14:17" x14ac:dyDescent="0.25">
      <c r="N876" s="58"/>
      <c r="O876" s="58"/>
      <c r="P876" s="58"/>
      <c r="Q876" s="58"/>
    </row>
    <row r="877" spans="14:17" x14ac:dyDescent="0.25">
      <c r="N877" s="58"/>
      <c r="O877" s="58"/>
      <c r="P877" s="58"/>
      <c r="Q877" s="58"/>
    </row>
    <row r="878" spans="14:17" x14ac:dyDescent="0.25">
      <c r="N878" s="58"/>
      <c r="O878" s="58"/>
      <c r="P878" s="58"/>
      <c r="Q878" s="58"/>
    </row>
    <row r="879" spans="14:17" x14ac:dyDescent="0.25">
      <c r="N879" s="58"/>
      <c r="O879" s="58"/>
      <c r="P879" s="58"/>
      <c r="Q879" s="58"/>
    </row>
    <row r="880" spans="14:17" x14ac:dyDescent="0.25">
      <c r="N880" s="58"/>
      <c r="O880" s="58"/>
      <c r="P880" s="58"/>
      <c r="Q880" s="58"/>
    </row>
    <row r="881" spans="14:17" x14ac:dyDescent="0.25">
      <c r="N881" s="58"/>
      <c r="O881" s="58"/>
      <c r="P881" s="58"/>
      <c r="Q881" s="58"/>
    </row>
    <row r="882" spans="14:17" x14ac:dyDescent="0.25">
      <c r="N882" s="58"/>
      <c r="O882" s="58"/>
      <c r="P882" s="58"/>
      <c r="Q882" s="58"/>
    </row>
    <row r="883" spans="14:17" x14ac:dyDescent="0.25">
      <c r="N883" s="58"/>
      <c r="O883" s="58"/>
      <c r="P883" s="58"/>
      <c r="Q883" s="58"/>
    </row>
    <row r="884" spans="14:17" x14ac:dyDescent="0.25">
      <c r="N884" s="58"/>
      <c r="O884" s="58"/>
      <c r="P884" s="58"/>
      <c r="Q884" s="58"/>
    </row>
    <row r="885" spans="14:17" x14ac:dyDescent="0.25">
      <c r="N885" s="58"/>
      <c r="O885" s="58"/>
      <c r="P885" s="58"/>
      <c r="Q885" s="58"/>
    </row>
    <row r="886" spans="14:17" x14ac:dyDescent="0.25">
      <c r="N886" s="58"/>
      <c r="O886" s="58"/>
      <c r="P886" s="58"/>
      <c r="Q886" s="58"/>
    </row>
    <row r="887" spans="14:17" x14ac:dyDescent="0.25">
      <c r="N887" s="58"/>
      <c r="O887" s="58"/>
      <c r="P887" s="58"/>
      <c r="Q887" s="58"/>
    </row>
    <row r="888" spans="14:17" x14ac:dyDescent="0.25">
      <c r="N888" s="58"/>
      <c r="O888" s="58"/>
      <c r="P888" s="58"/>
      <c r="Q888" s="58"/>
    </row>
    <row r="889" spans="14:17" x14ac:dyDescent="0.25">
      <c r="N889" s="58"/>
      <c r="O889" s="58"/>
      <c r="P889" s="58"/>
      <c r="Q889" s="58"/>
    </row>
    <row r="890" spans="14:17" x14ac:dyDescent="0.25">
      <c r="N890" s="58"/>
      <c r="O890" s="58"/>
      <c r="P890" s="58"/>
      <c r="Q890" s="58"/>
    </row>
    <row r="891" spans="14:17" x14ac:dyDescent="0.25">
      <c r="N891" s="58"/>
      <c r="O891" s="58"/>
      <c r="P891" s="58"/>
      <c r="Q891" s="58"/>
    </row>
    <row r="892" spans="14:17" x14ac:dyDescent="0.25">
      <c r="N892" s="58"/>
      <c r="O892" s="58"/>
      <c r="P892" s="58"/>
      <c r="Q892" s="58"/>
    </row>
    <row r="893" spans="14:17" x14ac:dyDescent="0.25">
      <c r="N893" s="58"/>
      <c r="O893" s="58"/>
      <c r="P893" s="58"/>
      <c r="Q893" s="58"/>
    </row>
    <row r="894" spans="14:17" x14ac:dyDescent="0.25">
      <c r="N894" s="58"/>
      <c r="O894" s="58"/>
      <c r="P894" s="58"/>
      <c r="Q894" s="58"/>
    </row>
    <row r="895" spans="14:17" x14ac:dyDescent="0.25">
      <c r="N895" s="58"/>
      <c r="O895" s="58"/>
      <c r="P895" s="58"/>
      <c r="Q895" s="58"/>
    </row>
    <row r="896" spans="14:17" x14ac:dyDescent="0.25">
      <c r="N896" s="58"/>
      <c r="O896" s="58"/>
      <c r="P896" s="58"/>
      <c r="Q896" s="58"/>
    </row>
    <row r="897" spans="14:17" x14ac:dyDescent="0.25">
      <c r="N897" s="58"/>
      <c r="O897" s="58"/>
      <c r="P897" s="58"/>
      <c r="Q897" s="58"/>
    </row>
    <row r="898" spans="14:17" x14ac:dyDescent="0.25">
      <c r="N898" s="58"/>
      <c r="O898" s="58"/>
      <c r="P898" s="58"/>
      <c r="Q898" s="58"/>
    </row>
    <row r="899" spans="14:17" x14ac:dyDescent="0.25">
      <c r="N899" s="58"/>
      <c r="O899" s="58"/>
      <c r="P899" s="58"/>
      <c r="Q899" s="58"/>
    </row>
    <row r="900" spans="14:17" x14ac:dyDescent="0.25">
      <c r="N900" s="58"/>
      <c r="O900" s="58"/>
      <c r="P900" s="58"/>
      <c r="Q900" s="58"/>
    </row>
    <row r="901" spans="14:17" x14ac:dyDescent="0.25">
      <c r="N901" s="58"/>
      <c r="O901" s="58"/>
      <c r="P901" s="58"/>
      <c r="Q901" s="58"/>
    </row>
    <row r="902" spans="14:17" x14ac:dyDescent="0.25">
      <c r="N902" s="58"/>
      <c r="O902" s="58"/>
      <c r="P902" s="58"/>
      <c r="Q902" s="58"/>
    </row>
    <row r="903" spans="14:17" x14ac:dyDescent="0.25">
      <c r="N903" s="58"/>
      <c r="O903" s="58"/>
      <c r="P903" s="58"/>
      <c r="Q903" s="58"/>
    </row>
    <row r="904" spans="14:17" x14ac:dyDescent="0.25">
      <c r="N904" s="58"/>
      <c r="O904" s="58"/>
      <c r="P904" s="58"/>
      <c r="Q904" s="58"/>
    </row>
    <row r="905" spans="14:17" x14ac:dyDescent="0.25">
      <c r="N905" s="58"/>
      <c r="O905" s="58"/>
      <c r="P905" s="58"/>
      <c r="Q905" s="58"/>
    </row>
    <row r="906" spans="14:17" x14ac:dyDescent="0.25">
      <c r="N906" s="58"/>
      <c r="O906" s="58"/>
      <c r="P906" s="58"/>
      <c r="Q906" s="58"/>
    </row>
    <row r="907" spans="14:17" x14ac:dyDescent="0.25">
      <c r="N907" s="58"/>
      <c r="O907" s="58"/>
      <c r="P907" s="58"/>
      <c r="Q907" s="58"/>
    </row>
    <row r="908" spans="14:17" x14ac:dyDescent="0.25">
      <c r="N908" s="58"/>
      <c r="O908" s="58"/>
      <c r="P908" s="58"/>
      <c r="Q908" s="58"/>
    </row>
    <row r="909" spans="14:17" x14ac:dyDescent="0.25">
      <c r="N909" s="58"/>
      <c r="O909" s="58"/>
      <c r="P909" s="58"/>
      <c r="Q909" s="58"/>
    </row>
    <row r="910" spans="14:17" x14ac:dyDescent="0.25">
      <c r="N910" s="58"/>
      <c r="O910" s="58"/>
      <c r="P910" s="58"/>
      <c r="Q910" s="58"/>
    </row>
    <row r="911" spans="14:17" x14ac:dyDescent="0.25">
      <c r="N911" s="58"/>
      <c r="O911" s="58"/>
      <c r="P911" s="58"/>
      <c r="Q911" s="58"/>
    </row>
    <row r="912" spans="14:17" x14ac:dyDescent="0.25">
      <c r="N912" s="58"/>
      <c r="O912" s="58"/>
      <c r="P912" s="58"/>
      <c r="Q912" s="58"/>
    </row>
    <row r="913" spans="14:17" x14ac:dyDescent="0.25">
      <c r="N913" s="58"/>
      <c r="O913" s="58"/>
      <c r="P913" s="58"/>
      <c r="Q913" s="58"/>
    </row>
    <row r="914" spans="14:17" x14ac:dyDescent="0.25">
      <c r="N914" s="58"/>
      <c r="O914" s="58"/>
      <c r="P914" s="58"/>
      <c r="Q914" s="58"/>
    </row>
    <row r="915" spans="14:17" x14ac:dyDescent="0.25">
      <c r="N915" s="58"/>
      <c r="O915" s="58"/>
      <c r="P915" s="58"/>
      <c r="Q915" s="58"/>
    </row>
    <row r="916" spans="14:17" x14ac:dyDescent="0.25">
      <c r="N916" s="58"/>
      <c r="O916" s="58"/>
      <c r="P916" s="58"/>
      <c r="Q916" s="58"/>
    </row>
    <row r="917" spans="14:17" x14ac:dyDescent="0.25">
      <c r="N917" s="58"/>
      <c r="O917" s="58"/>
      <c r="P917" s="58"/>
      <c r="Q917" s="58"/>
    </row>
    <row r="918" spans="14:17" x14ac:dyDescent="0.25">
      <c r="N918" s="58"/>
      <c r="O918" s="58"/>
      <c r="P918" s="58"/>
      <c r="Q918" s="58"/>
    </row>
    <row r="919" spans="14:17" x14ac:dyDescent="0.25">
      <c r="N919" s="58"/>
      <c r="O919" s="58"/>
      <c r="P919" s="58"/>
      <c r="Q919" s="58"/>
    </row>
    <row r="920" spans="14:17" x14ac:dyDescent="0.25">
      <c r="N920" s="58"/>
      <c r="O920" s="58"/>
      <c r="P920" s="58"/>
      <c r="Q920" s="58"/>
    </row>
    <row r="921" spans="14:17" x14ac:dyDescent="0.25">
      <c r="N921" s="58"/>
      <c r="O921" s="58"/>
      <c r="P921" s="58"/>
      <c r="Q921" s="58"/>
    </row>
    <row r="922" spans="14:17" x14ac:dyDescent="0.25">
      <c r="N922" s="58"/>
      <c r="O922" s="58"/>
      <c r="P922" s="58"/>
      <c r="Q922" s="58"/>
    </row>
    <row r="923" spans="14:17" x14ac:dyDescent="0.25">
      <c r="N923" s="58"/>
      <c r="O923" s="58"/>
      <c r="P923" s="58"/>
      <c r="Q923" s="58"/>
    </row>
    <row r="924" spans="14:17" x14ac:dyDescent="0.25">
      <c r="N924" s="58"/>
      <c r="O924" s="58"/>
      <c r="P924" s="58"/>
      <c r="Q924" s="58"/>
    </row>
    <row r="925" spans="14:17" x14ac:dyDescent="0.25">
      <c r="N925" s="58"/>
      <c r="O925" s="58"/>
      <c r="P925" s="58"/>
      <c r="Q925" s="58"/>
    </row>
    <row r="926" spans="14:17" x14ac:dyDescent="0.25">
      <c r="N926" s="58"/>
      <c r="O926" s="58"/>
      <c r="P926" s="58"/>
      <c r="Q926" s="58"/>
    </row>
    <row r="927" spans="14:17" x14ac:dyDescent="0.25">
      <c r="N927" s="58"/>
      <c r="O927" s="58"/>
      <c r="P927" s="58"/>
      <c r="Q927" s="58"/>
    </row>
    <row r="928" spans="14:17" x14ac:dyDescent="0.25">
      <c r="N928" s="58"/>
      <c r="O928" s="58"/>
      <c r="P928" s="58"/>
      <c r="Q928" s="58"/>
    </row>
    <row r="929" spans="14:17" x14ac:dyDescent="0.25">
      <c r="N929" s="58"/>
      <c r="O929" s="58"/>
      <c r="P929" s="58"/>
      <c r="Q929" s="58"/>
    </row>
    <row r="930" spans="14:17" x14ac:dyDescent="0.25">
      <c r="N930" s="58"/>
      <c r="O930" s="58"/>
      <c r="P930" s="58"/>
      <c r="Q930" s="58"/>
    </row>
    <row r="931" spans="14:17" x14ac:dyDescent="0.25">
      <c r="N931" s="58"/>
      <c r="O931" s="58"/>
      <c r="P931" s="58"/>
      <c r="Q931" s="58"/>
    </row>
    <row r="932" spans="14:17" x14ac:dyDescent="0.25">
      <c r="N932" s="58"/>
      <c r="O932" s="58"/>
      <c r="P932" s="58"/>
      <c r="Q932" s="58"/>
    </row>
    <row r="933" spans="14:17" x14ac:dyDescent="0.25">
      <c r="N933" s="58"/>
      <c r="O933" s="58"/>
      <c r="P933" s="58"/>
      <c r="Q933" s="58"/>
    </row>
    <row r="934" spans="14:17" x14ac:dyDescent="0.25">
      <c r="N934" s="58"/>
      <c r="O934" s="58"/>
      <c r="P934" s="58"/>
      <c r="Q934" s="58"/>
    </row>
    <row r="935" spans="14:17" x14ac:dyDescent="0.25">
      <c r="N935" s="58"/>
      <c r="O935" s="58"/>
      <c r="P935" s="58"/>
      <c r="Q935" s="58"/>
    </row>
    <row r="936" spans="14:17" x14ac:dyDescent="0.25">
      <c r="N936" s="58"/>
      <c r="O936" s="58"/>
      <c r="P936" s="58"/>
      <c r="Q936" s="58"/>
    </row>
    <row r="937" spans="14:17" x14ac:dyDescent="0.25">
      <c r="N937" s="58"/>
      <c r="O937" s="58"/>
      <c r="P937" s="58"/>
      <c r="Q937" s="58"/>
    </row>
    <row r="938" spans="14:17" x14ac:dyDescent="0.25">
      <c r="N938" s="58"/>
      <c r="O938" s="58"/>
      <c r="P938" s="58"/>
      <c r="Q938" s="58"/>
    </row>
    <row r="939" spans="14:17" x14ac:dyDescent="0.25">
      <c r="N939" s="58"/>
      <c r="O939" s="58"/>
      <c r="P939" s="58"/>
      <c r="Q939" s="58"/>
    </row>
    <row r="940" spans="14:17" x14ac:dyDescent="0.25">
      <c r="N940" s="58"/>
      <c r="O940" s="58"/>
      <c r="P940" s="58"/>
      <c r="Q940" s="58"/>
    </row>
    <row r="941" spans="14:17" x14ac:dyDescent="0.25">
      <c r="N941" s="58"/>
      <c r="O941" s="58"/>
      <c r="P941" s="58"/>
      <c r="Q941" s="58"/>
    </row>
    <row r="942" spans="14:17" x14ac:dyDescent="0.25">
      <c r="N942" s="58"/>
      <c r="O942" s="58"/>
      <c r="P942" s="58"/>
      <c r="Q942" s="58"/>
    </row>
    <row r="943" spans="14:17" x14ac:dyDescent="0.25">
      <c r="N943" s="58"/>
      <c r="O943" s="58"/>
      <c r="P943" s="58"/>
      <c r="Q943" s="58"/>
    </row>
    <row r="944" spans="14:17" x14ac:dyDescent="0.25">
      <c r="N944" s="58"/>
      <c r="O944" s="58"/>
      <c r="P944" s="58"/>
      <c r="Q944" s="58"/>
    </row>
    <row r="945" spans="14:17" x14ac:dyDescent="0.25">
      <c r="N945" s="58"/>
      <c r="O945" s="58"/>
      <c r="P945" s="58"/>
      <c r="Q945" s="58"/>
    </row>
    <row r="946" spans="14:17" x14ac:dyDescent="0.25">
      <c r="N946" s="58"/>
      <c r="O946" s="58"/>
      <c r="P946" s="58"/>
      <c r="Q946" s="58"/>
    </row>
    <row r="947" spans="14:17" x14ac:dyDescent="0.25">
      <c r="N947" s="58"/>
      <c r="O947" s="58"/>
      <c r="P947" s="58"/>
      <c r="Q947" s="58"/>
    </row>
    <row r="948" spans="14:17" x14ac:dyDescent="0.25">
      <c r="N948" s="58"/>
      <c r="O948" s="58"/>
      <c r="P948" s="58"/>
      <c r="Q948" s="58"/>
    </row>
    <row r="949" spans="14:17" x14ac:dyDescent="0.25">
      <c r="N949" s="58"/>
      <c r="O949" s="58"/>
      <c r="P949" s="58"/>
      <c r="Q949" s="58"/>
    </row>
    <row r="950" spans="14:17" x14ac:dyDescent="0.25">
      <c r="N950" s="58"/>
      <c r="O950" s="58"/>
      <c r="P950" s="58"/>
      <c r="Q950" s="58"/>
    </row>
    <row r="951" spans="14:17" x14ac:dyDescent="0.25">
      <c r="N951" s="58"/>
      <c r="O951" s="58"/>
      <c r="P951" s="58"/>
      <c r="Q951" s="58"/>
    </row>
    <row r="952" spans="14:17" x14ac:dyDescent="0.25">
      <c r="N952" s="58"/>
      <c r="O952" s="58"/>
      <c r="P952" s="58"/>
      <c r="Q952" s="58"/>
    </row>
    <row r="953" spans="14:17" x14ac:dyDescent="0.25">
      <c r="N953" s="58"/>
      <c r="O953" s="58"/>
      <c r="P953" s="58"/>
      <c r="Q953" s="58"/>
    </row>
    <row r="954" spans="14:17" x14ac:dyDescent="0.25">
      <c r="N954" s="58"/>
      <c r="O954" s="58"/>
      <c r="P954" s="58"/>
      <c r="Q954" s="58"/>
    </row>
    <row r="955" spans="14:17" x14ac:dyDescent="0.25">
      <c r="N955" s="58"/>
      <c r="O955" s="58"/>
      <c r="P955" s="58"/>
      <c r="Q955" s="58"/>
    </row>
    <row r="956" spans="14:17" x14ac:dyDescent="0.25">
      <c r="N956" s="58"/>
      <c r="O956" s="58"/>
      <c r="P956" s="58"/>
      <c r="Q956" s="58"/>
    </row>
    <row r="957" spans="14:17" x14ac:dyDescent="0.25">
      <c r="N957" s="58"/>
      <c r="O957" s="58"/>
      <c r="P957" s="58"/>
      <c r="Q957" s="58"/>
    </row>
    <row r="958" spans="14:17" x14ac:dyDescent="0.25">
      <c r="N958" s="58"/>
      <c r="O958" s="58"/>
      <c r="P958" s="58"/>
      <c r="Q958" s="58"/>
    </row>
    <row r="959" spans="14:17" x14ac:dyDescent="0.25">
      <c r="N959" s="58"/>
      <c r="O959" s="58"/>
      <c r="P959" s="58"/>
      <c r="Q959" s="58"/>
    </row>
    <row r="960" spans="14:17" x14ac:dyDescent="0.25">
      <c r="N960" s="58"/>
      <c r="O960" s="58"/>
      <c r="P960" s="58"/>
      <c r="Q960" s="58"/>
    </row>
    <row r="961" spans="14:17" x14ac:dyDescent="0.25">
      <c r="N961" s="58"/>
      <c r="O961" s="58"/>
      <c r="P961" s="58"/>
      <c r="Q961" s="58"/>
    </row>
    <row r="962" spans="14:17" x14ac:dyDescent="0.25">
      <c r="N962" s="58"/>
      <c r="O962" s="58"/>
      <c r="P962" s="58"/>
      <c r="Q962" s="58"/>
    </row>
    <row r="963" spans="14:17" x14ac:dyDescent="0.25">
      <c r="N963" s="58"/>
      <c r="O963" s="58"/>
      <c r="P963" s="58"/>
      <c r="Q963" s="58"/>
    </row>
    <row r="964" spans="14:17" x14ac:dyDescent="0.25">
      <c r="N964" s="58"/>
      <c r="O964" s="58"/>
      <c r="P964" s="58"/>
      <c r="Q964" s="58"/>
    </row>
    <row r="965" spans="14:17" x14ac:dyDescent="0.25">
      <c r="N965" s="58"/>
      <c r="O965" s="58"/>
      <c r="P965" s="58"/>
      <c r="Q965" s="58"/>
    </row>
    <row r="966" spans="14:17" x14ac:dyDescent="0.25">
      <c r="N966" s="58"/>
      <c r="O966" s="58"/>
      <c r="P966" s="58"/>
      <c r="Q966" s="58"/>
    </row>
    <row r="967" spans="14:17" x14ac:dyDescent="0.25">
      <c r="N967" s="58"/>
      <c r="O967" s="58"/>
      <c r="P967" s="58"/>
      <c r="Q967" s="58"/>
    </row>
    <row r="968" spans="14:17" x14ac:dyDescent="0.25">
      <c r="N968" s="58"/>
      <c r="O968" s="58"/>
      <c r="P968" s="58"/>
      <c r="Q968" s="58"/>
    </row>
    <row r="969" spans="14:17" x14ac:dyDescent="0.25">
      <c r="N969" s="58"/>
      <c r="O969" s="58"/>
      <c r="P969" s="58"/>
      <c r="Q969" s="58"/>
    </row>
    <row r="970" spans="14:17" x14ac:dyDescent="0.25">
      <c r="N970" s="58"/>
      <c r="O970" s="58"/>
      <c r="P970" s="58"/>
      <c r="Q970" s="58"/>
    </row>
    <row r="971" spans="14:17" x14ac:dyDescent="0.25">
      <c r="N971" s="58"/>
      <c r="O971" s="58"/>
      <c r="P971" s="58"/>
      <c r="Q971" s="58"/>
    </row>
    <row r="972" spans="14:17" x14ac:dyDescent="0.25">
      <c r="N972" s="58"/>
      <c r="O972" s="58"/>
      <c r="P972" s="58"/>
      <c r="Q972" s="58"/>
    </row>
    <row r="973" spans="14:17" x14ac:dyDescent="0.25">
      <c r="N973" s="58"/>
      <c r="O973" s="58"/>
      <c r="P973" s="58"/>
      <c r="Q973" s="58"/>
    </row>
    <row r="974" spans="14:17" x14ac:dyDescent="0.25">
      <c r="N974" s="58"/>
      <c r="O974" s="58"/>
      <c r="P974" s="58"/>
      <c r="Q974" s="58"/>
    </row>
    <row r="975" spans="14:17" x14ac:dyDescent="0.25">
      <c r="N975" s="58"/>
      <c r="O975" s="58"/>
      <c r="P975" s="58"/>
      <c r="Q975" s="58"/>
    </row>
    <row r="976" spans="14:17" x14ac:dyDescent="0.25">
      <c r="N976" s="58"/>
      <c r="O976" s="58"/>
      <c r="P976" s="58"/>
      <c r="Q976" s="58"/>
    </row>
    <row r="977" spans="14:17" x14ac:dyDescent="0.25">
      <c r="N977" s="58"/>
      <c r="O977" s="58"/>
      <c r="P977" s="58"/>
      <c r="Q977" s="58"/>
    </row>
    <row r="978" spans="14:17" x14ac:dyDescent="0.25">
      <c r="N978" s="58"/>
      <c r="O978" s="58"/>
      <c r="P978" s="58"/>
      <c r="Q978" s="58"/>
    </row>
    <row r="979" spans="14:17" x14ac:dyDescent="0.25">
      <c r="N979" s="58"/>
      <c r="O979" s="58"/>
      <c r="P979" s="58"/>
      <c r="Q979" s="58"/>
    </row>
    <row r="980" spans="14:17" x14ac:dyDescent="0.25">
      <c r="N980" s="58"/>
      <c r="O980" s="58"/>
      <c r="P980" s="58"/>
      <c r="Q980" s="58"/>
    </row>
    <row r="981" spans="14:17" x14ac:dyDescent="0.25">
      <c r="N981" s="58"/>
      <c r="O981" s="58"/>
      <c r="P981" s="58"/>
      <c r="Q981" s="58"/>
    </row>
    <row r="982" spans="14:17" x14ac:dyDescent="0.25">
      <c r="N982" s="58"/>
      <c r="O982" s="58"/>
      <c r="P982" s="58"/>
      <c r="Q982" s="58"/>
    </row>
    <row r="983" spans="14:17" x14ac:dyDescent="0.25">
      <c r="N983" s="58"/>
      <c r="O983" s="58"/>
      <c r="P983" s="58"/>
      <c r="Q983" s="58"/>
    </row>
    <row r="984" spans="14:17" x14ac:dyDescent="0.25">
      <c r="N984" s="58"/>
      <c r="O984" s="58"/>
      <c r="P984" s="58"/>
      <c r="Q984" s="58"/>
    </row>
    <row r="985" spans="14:17" x14ac:dyDescent="0.25">
      <c r="N985" s="58"/>
      <c r="O985" s="58"/>
      <c r="P985" s="58"/>
      <c r="Q985" s="58"/>
    </row>
    <row r="986" spans="14:17" x14ac:dyDescent="0.25">
      <c r="N986" s="58"/>
      <c r="O986" s="58"/>
      <c r="P986" s="58"/>
      <c r="Q986" s="58"/>
    </row>
    <row r="987" spans="14:17" x14ac:dyDescent="0.25">
      <c r="N987" s="58"/>
      <c r="O987" s="58"/>
      <c r="P987" s="58"/>
      <c r="Q987" s="58"/>
    </row>
    <row r="988" spans="14:17" x14ac:dyDescent="0.25">
      <c r="N988" s="58"/>
      <c r="O988" s="58"/>
      <c r="P988" s="58"/>
      <c r="Q988" s="58"/>
    </row>
    <row r="989" spans="14:17" x14ac:dyDescent="0.25">
      <c r="N989" s="58"/>
      <c r="O989" s="58"/>
      <c r="P989" s="58"/>
      <c r="Q989" s="58"/>
    </row>
    <row r="990" spans="14:17" x14ac:dyDescent="0.25">
      <c r="N990" s="58"/>
      <c r="O990" s="58"/>
      <c r="P990" s="58"/>
      <c r="Q990" s="58"/>
    </row>
    <row r="991" spans="14:17" x14ac:dyDescent="0.25">
      <c r="N991" s="58"/>
      <c r="O991" s="58"/>
      <c r="P991" s="58"/>
      <c r="Q991" s="58"/>
    </row>
    <row r="992" spans="14:17" x14ac:dyDescent="0.25">
      <c r="N992" s="58"/>
      <c r="O992" s="58"/>
      <c r="P992" s="58"/>
      <c r="Q992" s="58"/>
    </row>
    <row r="993" spans="14:17" x14ac:dyDescent="0.25">
      <c r="N993" s="58"/>
      <c r="O993" s="58"/>
      <c r="P993" s="58"/>
      <c r="Q993" s="58"/>
    </row>
    <row r="994" spans="14:17" x14ac:dyDescent="0.25">
      <c r="N994" s="58"/>
      <c r="O994" s="58"/>
      <c r="P994" s="58"/>
      <c r="Q994" s="58"/>
    </row>
    <row r="995" spans="14:17" x14ac:dyDescent="0.25">
      <c r="N995" s="58"/>
      <c r="O995" s="58"/>
      <c r="P995" s="58"/>
      <c r="Q995" s="58"/>
    </row>
    <row r="996" spans="14:17" x14ac:dyDescent="0.25">
      <c r="N996" s="58"/>
      <c r="O996" s="58"/>
      <c r="P996" s="58"/>
      <c r="Q996" s="58"/>
    </row>
    <row r="997" spans="14:17" x14ac:dyDescent="0.25">
      <c r="N997" s="58"/>
      <c r="O997" s="58"/>
      <c r="P997" s="58"/>
      <c r="Q997" s="58"/>
    </row>
    <row r="998" spans="14:17" x14ac:dyDescent="0.25">
      <c r="N998" s="58"/>
      <c r="O998" s="58"/>
      <c r="P998" s="58"/>
      <c r="Q998" s="58"/>
    </row>
    <row r="999" spans="14:17" x14ac:dyDescent="0.25">
      <c r="N999" s="58"/>
      <c r="O999" s="58"/>
      <c r="P999" s="58"/>
      <c r="Q999" s="58"/>
    </row>
    <row r="1000" spans="14:17" x14ac:dyDescent="0.25">
      <c r="N1000" s="58"/>
      <c r="O1000" s="58"/>
      <c r="P1000" s="58"/>
      <c r="Q1000" s="58"/>
    </row>
  </sheetData>
  <mergeCells count="2">
    <mergeCell ref="K2:L2"/>
    <mergeCell ref="K8:L8"/>
  </mergeCells>
  <conditionalFormatting sqref="L4">
    <cfRule type="cellIs" dxfId="31" priority="5" operator="lessThanOrEqual">
      <formula>0</formula>
    </cfRule>
    <cfRule type="cellIs" dxfId="30" priority="6" operator="greaterThan">
      <formula>0</formula>
    </cfRule>
  </conditionalFormatting>
  <conditionalFormatting sqref="A1:I2">
    <cfRule type="expression" dxfId="29" priority="1" stopIfTrue="1">
      <formula>AND(ROW()&gt;1,$A1="Credit Memo")</formula>
    </cfRule>
    <cfRule type="expression" dxfId="28" priority="2">
      <formula>AND(ROW()&gt;1,$D1&gt;0,$F1&gt;0)</formula>
    </cfRule>
    <cfRule type="expression" dxfId="27" priority="3">
      <formula>AND(MONTH($E1)=MONTH(TODAY()),YEAR($E1)=YEAR(TODAY()))</formula>
    </cfRule>
  </conditionalFormatting>
  <pageMargins left="0.7" right="0.7" top="0.75" bottom="0.75" header="0.3" footer="0.3"/>
  <pageSetup orientation="portrait" horizontalDpi="1200"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D86B4-BDB5-4593-93F6-FC77D2D2C206}">
  <sheetPr codeName="Sheet5"/>
  <dimension ref="A1:E80"/>
  <sheetViews>
    <sheetView zoomScaleNormal="100" workbookViewId="0">
      <selection activeCell="A2" sqref="A2:F80"/>
    </sheetView>
  </sheetViews>
  <sheetFormatPr defaultRowHeight="15" x14ac:dyDescent="0.25"/>
  <cols>
    <col min="1" max="1" width="38.42578125" bestFit="1" customWidth="1"/>
    <col min="2" max="2" width="27.28515625" bestFit="1" customWidth="1"/>
    <col min="3" max="3" width="27.28515625" style="61" customWidth="1"/>
    <col min="4" max="4" width="37.42578125" style="3" bestFit="1" customWidth="1"/>
    <col min="5" max="5" width="47.85546875" bestFit="1" customWidth="1"/>
    <col min="6" max="6" width="18.85546875" bestFit="1" customWidth="1"/>
  </cols>
  <sheetData>
    <row r="1" spans="1:5" x14ac:dyDescent="0.25">
      <c r="A1" s="54" t="s">
        <v>77</v>
      </c>
      <c r="B1" s="54" t="s">
        <v>125</v>
      </c>
      <c r="C1" s="55" t="s">
        <v>79</v>
      </c>
      <c r="D1" s="56" t="s">
        <v>78</v>
      </c>
      <c r="E1" s="56" t="s">
        <v>126</v>
      </c>
    </row>
    <row r="2" spans="1:5" x14ac:dyDescent="0.25">
      <c r="A2" s="69"/>
      <c r="B2" s="70"/>
      <c r="C2" s="71"/>
      <c r="D2" s="57"/>
    </row>
    <row r="3" spans="1:5" x14ac:dyDescent="0.25">
      <c r="A3" s="69"/>
      <c r="B3" s="70"/>
      <c r="C3" s="71"/>
      <c r="D3" s="57"/>
    </row>
    <row r="4" spans="1:5" x14ac:dyDescent="0.25">
      <c r="A4" s="69"/>
      <c r="B4" s="70"/>
      <c r="C4" s="71"/>
      <c r="D4" s="57"/>
    </row>
    <row r="5" spans="1:5" x14ac:dyDescent="0.25">
      <c r="A5" s="69"/>
      <c r="B5" s="70"/>
      <c r="C5" s="71"/>
      <c r="D5" s="57"/>
    </row>
    <row r="6" spans="1:5" x14ac:dyDescent="0.25">
      <c r="A6" s="69"/>
      <c r="B6" s="70"/>
      <c r="C6" s="71"/>
      <c r="D6" s="57"/>
    </row>
    <row r="7" spans="1:5" x14ac:dyDescent="0.25">
      <c r="A7" s="69"/>
      <c r="B7" s="70"/>
      <c r="C7" s="71"/>
      <c r="D7" s="57"/>
    </row>
    <row r="8" spans="1:5" x14ac:dyDescent="0.25">
      <c r="A8" s="69"/>
      <c r="B8" s="70"/>
      <c r="C8" s="71"/>
      <c r="D8" s="57"/>
    </row>
    <row r="9" spans="1:5" x14ac:dyDescent="0.25">
      <c r="A9" s="69"/>
      <c r="B9" s="70"/>
      <c r="C9" s="71"/>
      <c r="D9" s="57"/>
    </row>
    <row r="10" spans="1:5" x14ac:dyDescent="0.25">
      <c r="A10" s="69"/>
      <c r="B10" s="70"/>
      <c r="C10" s="71"/>
      <c r="D10" s="57"/>
    </row>
    <row r="11" spans="1:5" x14ac:dyDescent="0.25">
      <c r="A11" s="69"/>
      <c r="B11" s="70"/>
      <c r="C11" s="71"/>
      <c r="D11" s="57"/>
    </row>
    <row r="12" spans="1:5" x14ac:dyDescent="0.25">
      <c r="A12" s="69"/>
      <c r="B12" s="70"/>
      <c r="C12" s="71"/>
      <c r="D12" s="57"/>
    </row>
    <row r="13" spans="1:5" x14ac:dyDescent="0.25">
      <c r="A13" s="69"/>
      <c r="B13" s="70"/>
      <c r="C13" s="71"/>
      <c r="D13" s="57"/>
    </row>
    <row r="14" spans="1:5" ht="18.75" customHeight="1" x14ac:dyDescent="0.25">
      <c r="A14" s="69"/>
      <c r="B14" s="70"/>
      <c r="C14" s="71"/>
      <c r="D14" s="57"/>
    </row>
    <row r="15" spans="1:5" x14ac:dyDescent="0.25">
      <c r="A15" s="69"/>
      <c r="B15" s="70"/>
      <c r="C15" s="71"/>
      <c r="D15" s="57"/>
    </row>
    <row r="16" spans="1:5" x14ac:dyDescent="0.25">
      <c r="A16" s="69"/>
      <c r="B16" s="70"/>
      <c r="C16" s="71"/>
      <c r="D16" s="57"/>
    </row>
    <row r="17" spans="1:4" x14ac:dyDescent="0.25">
      <c r="A17" s="69"/>
      <c r="B17" s="70"/>
      <c r="C17" s="71"/>
      <c r="D17" s="57"/>
    </row>
    <row r="18" spans="1:4" x14ac:dyDescent="0.25">
      <c r="A18" s="69"/>
      <c r="B18" s="70"/>
      <c r="C18" s="71"/>
      <c r="D18" s="57"/>
    </row>
    <row r="19" spans="1:4" x14ac:dyDescent="0.25">
      <c r="A19" s="69"/>
      <c r="B19" s="70"/>
      <c r="C19" s="71"/>
      <c r="D19" s="57"/>
    </row>
    <row r="20" spans="1:4" x14ac:dyDescent="0.25">
      <c r="A20" s="69"/>
      <c r="B20" s="70"/>
      <c r="C20" s="71"/>
      <c r="D20" s="57"/>
    </row>
    <row r="21" spans="1:4" x14ac:dyDescent="0.25">
      <c r="A21" s="69"/>
      <c r="B21" s="70"/>
      <c r="C21" s="71"/>
      <c r="D21" s="57"/>
    </row>
    <row r="22" spans="1:4" x14ac:dyDescent="0.25">
      <c r="A22" s="69"/>
      <c r="B22" s="70"/>
      <c r="C22" s="71"/>
      <c r="D22" s="57"/>
    </row>
    <row r="23" spans="1:4" x14ac:dyDescent="0.25">
      <c r="A23" s="69"/>
      <c r="B23" s="70"/>
      <c r="C23" s="71"/>
      <c r="D23" s="57"/>
    </row>
    <row r="24" spans="1:4" x14ac:dyDescent="0.25">
      <c r="A24" s="69"/>
      <c r="B24" s="70"/>
      <c r="C24" s="71"/>
      <c r="D24" s="57"/>
    </row>
    <row r="25" spans="1:4" x14ac:dyDescent="0.25">
      <c r="A25" s="69"/>
      <c r="B25" s="70"/>
      <c r="C25" s="71"/>
      <c r="D25" s="57"/>
    </row>
    <row r="26" spans="1:4" x14ac:dyDescent="0.25">
      <c r="A26" s="69"/>
      <c r="B26" s="70"/>
      <c r="C26" s="71"/>
      <c r="D26" s="57"/>
    </row>
    <row r="27" spans="1:4" x14ac:dyDescent="0.25">
      <c r="A27" s="69"/>
      <c r="B27" s="70"/>
      <c r="C27" s="71"/>
      <c r="D27" s="57"/>
    </row>
    <row r="28" spans="1:4" x14ac:dyDescent="0.25">
      <c r="A28" s="69"/>
      <c r="B28" s="70"/>
      <c r="C28" s="71"/>
      <c r="D28" s="57"/>
    </row>
    <row r="29" spans="1:4" x14ac:dyDescent="0.25">
      <c r="A29" s="69"/>
      <c r="B29" s="70"/>
      <c r="C29" s="71"/>
      <c r="D29" s="57"/>
    </row>
    <row r="30" spans="1:4" x14ac:dyDescent="0.25">
      <c r="A30" s="69"/>
      <c r="B30" s="70"/>
      <c r="C30" s="71"/>
      <c r="D30" s="57"/>
    </row>
    <row r="31" spans="1:4" x14ac:dyDescent="0.25">
      <c r="A31" s="69"/>
      <c r="B31" s="70"/>
      <c r="C31" s="71"/>
      <c r="D31" s="57"/>
    </row>
    <row r="32" spans="1:4" x14ac:dyDescent="0.25">
      <c r="A32" s="69"/>
      <c r="B32" s="70"/>
      <c r="C32" s="71"/>
      <c r="D32" s="57"/>
    </row>
    <row r="33" spans="1:4" x14ac:dyDescent="0.25">
      <c r="A33" s="69"/>
      <c r="B33" s="70"/>
      <c r="C33" s="71"/>
      <c r="D33" s="57"/>
    </row>
    <row r="34" spans="1:4" x14ac:dyDescent="0.25">
      <c r="A34" s="69"/>
      <c r="B34" s="70"/>
      <c r="C34" s="71"/>
      <c r="D34" s="57"/>
    </row>
    <row r="35" spans="1:4" x14ac:dyDescent="0.25">
      <c r="A35" s="69"/>
      <c r="B35" s="70"/>
      <c r="C35" s="71"/>
      <c r="D35" s="57"/>
    </row>
    <row r="36" spans="1:4" x14ac:dyDescent="0.25">
      <c r="A36" s="69"/>
      <c r="B36" s="70"/>
      <c r="C36" s="71"/>
      <c r="D36" s="57"/>
    </row>
    <row r="37" spans="1:4" x14ac:dyDescent="0.25">
      <c r="A37" s="69"/>
      <c r="B37" s="70"/>
      <c r="C37" s="71"/>
      <c r="D37" s="57"/>
    </row>
    <row r="38" spans="1:4" x14ac:dyDescent="0.25">
      <c r="A38" s="69"/>
      <c r="B38" s="70"/>
      <c r="C38" s="71"/>
      <c r="D38" s="57"/>
    </row>
    <row r="39" spans="1:4" x14ac:dyDescent="0.25">
      <c r="A39" s="69"/>
      <c r="B39" s="70"/>
      <c r="C39" s="71"/>
      <c r="D39" s="57"/>
    </row>
    <row r="40" spans="1:4" x14ac:dyDescent="0.25">
      <c r="A40" s="69"/>
      <c r="B40" s="70"/>
      <c r="C40" s="71"/>
      <c r="D40" s="57"/>
    </row>
    <row r="41" spans="1:4" x14ac:dyDescent="0.25">
      <c r="A41" s="69"/>
      <c r="B41" s="70"/>
      <c r="C41" s="71"/>
      <c r="D41" s="57"/>
    </row>
    <row r="42" spans="1:4" x14ac:dyDescent="0.25">
      <c r="A42" s="69"/>
      <c r="B42" s="70"/>
      <c r="C42" s="71"/>
      <c r="D42" s="57"/>
    </row>
    <row r="43" spans="1:4" x14ac:dyDescent="0.25">
      <c r="A43" s="69"/>
      <c r="B43" s="70"/>
      <c r="C43" s="71"/>
      <c r="D43" s="57"/>
    </row>
    <row r="44" spans="1:4" x14ac:dyDescent="0.25">
      <c r="A44" s="69"/>
      <c r="B44" s="70"/>
      <c r="C44" s="71"/>
      <c r="D44" s="57"/>
    </row>
    <row r="45" spans="1:4" x14ac:dyDescent="0.25">
      <c r="A45" s="69"/>
      <c r="B45" s="70"/>
      <c r="C45" s="71"/>
      <c r="D45" s="57"/>
    </row>
    <row r="46" spans="1:4" x14ac:dyDescent="0.25">
      <c r="A46" s="69"/>
      <c r="B46" s="70"/>
      <c r="C46" s="71"/>
      <c r="D46" s="57"/>
    </row>
    <row r="47" spans="1:4" x14ac:dyDescent="0.25">
      <c r="A47" s="69"/>
      <c r="B47" s="70"/>
      <c r="C47" s="71"/>
      <c r="D47" s="57"/>
    </row>
    <row r="48" spans="1:4" x14ac:dyDescent="0.25">
      <c r="A48" s="69"/>
      <c r="B48" s="70"/>
      <c r="C48" s="71"/>
      <c r="D48" s="57"/>
    </row>
    <row r="49" spans="1:4" x14ac:dyDescent="0.25">
      <c r="A49" s="69"/>
      <c r="B49" s="70"/>
      <c r="C49" s="71"/>
      <c r="D49" s="57"/>
    </row>
    <row r="50" spans="1:4" x14ac:dyDescent="0.25">
      <c r="A50" s="69"/>
      <c r="B50" s="70"/>
      <c r="C50" s="71"/>
      <c r="D50" s="57"/>
    </row>
    <row r="51" spans="1:4" x14ac:dyDescent="0.25">
      <c r="A51" s="69"/>
      <c r="B51" s="70"/>
      <c r="C51" s="71"/>
      <c r="D51" s="57"/>
    </row>
    <row r="52" spans="1:4" x14ac:dyDescent="0.25">
      <c r="A52" s="69"/>
      <c r="B52" s="70"/>
      <c r="C52" s="71"/>
      <c r="D52" s="57"/>
    </row>
    <row r="53" spans="1:4" x14ac:dyDescent="0.25">
      <c r="A53" s="69"/>
      <c r="B53" s="70"/>
      <c r="C53" s="71"/>
      <c r="D53" s="57"/>
    </row>
    <row r="54" spans="1:4" x14ac:dyDescent="0.25">
      <c r="A54" s="69"/>
      <c r="B54" s="70"/>
      <c r="C54" s="71"/>
      <c r="D54" s="57"/>
    </row>
    <row r="55" spans="1:4" x14ac:dyDescent="0.25">
      <c r="A55" s="69"/>
      <c r="B55" s="70"/>
      <c r="C55" s="71"/>
      <c r="D55" s="57"/>
    </row>
    <row r="56" spans="1:4" x14ac:dyDescent="0.25">
      <c r="A56" s="69"/>
      <c r="B56" s="70"/>
      <c r="C56" s="71"/>
      <c r="D56" s="57"/>
    </row>
    <row r="57" spans="1:4" x14ac:dyDescent="0.25">
      <c r="A57" s="69"/>
      <c r="B57" s="70"/>
      <c r="C57" s="71"/>
      <c r="D57" s="57"/>
    </row>
    <row r="58" spans="1:4" x14ac:dyDescent="0.25">
      <c r="A58" s="69"/>
      <c r="B58" s="70"/>
      <c r="C58" s="71"/>
      <c r="D58" s="57"/>
    </row>
    <row r="59" spans="1:4" x14ac:dyDescent="0.25">
      <c r="A59" s="69"/>
      <c r="B59" s="70"/>
      <c r="C59" s="71"/>
      <c r="D59" s="64"/>
    </row>
    <row r="60" spans="1:4" x14ac:dyDescent="0.25">
      <c r="A60" s="69"/>
      <c r="B60" s="70"/>
      <c r="C60" s="71"/>
      <c r="D60" s="57"/>
    </row>
    <row r="61" spans="1:4" x14ac:dyDescent="0.25">
      <c r="A61" s="69"/>
      <c r="B61" s="70"/>
      <c r="C61" s="71"/>
      <c r="D61" s="57"/>
    </row>
    <row r="62" spans="1:4" x14ac:dyDescent="0.25">
      <c r="A62" s="69"/>
      <c r="B62" s="70"/>
      <c r="C62" s="71"/>
      <c r="D62" s="57"/>
    </row>
    <row r="63" spans="1:4" x14ac:dyDescent="0.25">
      <c r="A63" s="69"/>
      <c r="B63" s="70"/>
      <c r="C63" s="71"/>
      <c r="D63" s="57"/>
    </row>
    <row r="64" spans="1:4" x14ac:dyDescent="0.25">
      <c r="A64" s="69"/>
      <c r="B64" s="70"/>
      <c r="C64" s="71"/>
      <c r="D64" s="57"/>
    </row>
    <row r="65" spans="1:4" x14ac:dyDescent="0.25">
      <c r="A65" s="69"/>
      <c r="B65" s="70"/>
      <c r="C65" s="71"/>
      <c r="D65" s="57"/>
    </row>
    <row r="66" spans="1:4" x14ac:dyDescent="0.25">
      <c r="A66" s="69"/>
      <c r="B66" s="70"/>
      <c r="C66" s="71"/>
      <c r="D66" s="57"/>
    </row>
    <row r="67" spans="1:4" x14ac:dyDescent="0.25">
      <c r="A67" s="69"/>
      <c r="B67" s="70"/>
      <c r="C67" s="71"/>
      <c r="D67" s="57"/>
    </row>
    <row r="68" spans="1:4" x14ac:dyDescent="0.25">
      <c r="A68" s="69"/>
      <c r="B68" s="70"/>
      <c r="C68" s="71"/>
      <c r="D68" s="57"/>
    </row>
    <row r="69" spans="1:4" x14ac:dyDescent="0.25">
      <c r="A69" s="69"/>
      <c r="B69" s="70"/>
      <c r="C69" s="71"/>
      <c r="D69" s="57"/>
    </row>
    <row r="70" spans="1:4" x14ac:dyDescent="0.25">
      <c r="A70" s="69"/>
      <c r="B70" s="70"/>
      <c r="C70" s="71"/>
      <c r="D70" s="57"/>
    </row>
    <row r="71" spans="1:4" x14ac:dyDescent="0.25">
      <c r="A71" s="69"/>
      <c r="B71" s="70"/>
      <c r="C71" s="71"/>
      <c r="D71" s="57"/>
    </row>
    <row r="72" spans="1:4" x14ac:dyDescent="0.25">
      <c r="A72" s="69"/>
      <c r="B72" s="70"/>
      <c r="C72" s="71"/>
      <c r="D72" s="57"/>
    </row>
    <row r="73" spans="1:4" x14ac:dyDescent="0.25">
      <c r="A73" s="69"/>
      <c r="B73" s="70"/>
      <c r="C73" s="71"/>
      <c r="D73" s="57"/>
    </row>
    <row r="74" spans="1:4" x14ac:dyDescent="0.25">
      <c r="A74" s="69"/>
      <c r="B74" s="70"/>
      <c r="C74" s="71"/>
      <c r="D74" s="57"/>
    </row>
    <row r="75" spans="1:4" x14ac:dyDescent="0.25">
      <c r="A75" s="69"/>
      <c r="B75" s="70"/>
      <c r="C75" s="71"/>
      <c r="D75" s="57"/>
    </row>
    <row r="76" spans="1:4" x14ac:dyDescent="0.25">
      <c r="A76" s="69"/>
      <c r="B76" s="70"/>
      <c r="C76" s="71"/>
      <c r="D76" s="57"/>
    </row>
    <row r="77" spans="1:4" x14ac:dyDescent="0.25">
      <c r="A77" s="69"/>
      <c r="B77" s="70"/>
      <c r="C77" s="71"/>
      <c r="D77" s="57"/>
    </row>
    <row r="78" spans="1:4" x14ac:dyDescent="0.25">
      <c r="A78" s="69"/>
      <c r="B78" s="70"/>
      <c r="C78" s="71"/>
      <c r="D78" s="57"/>
    </row>
    <row r="79" spans="1:4" x14ac:dyDescent="0.25">
      <c r="A79" s="72"/>
      <c r="B79" s="73"/>
      <c r="C79" s="74"/>
      <c r="D79" s="65"/>
    </row>
    <row r="80" spans="1:4" x14ac:dyDescent="0.25">
      <c r="A80" s="58"/>
      <c r="B80" s="75"/>
      <c r="C80" s="76"/>
      <c r="D80" s="77"/>
    </row>
  </sheetData>
  <autoFilter ref="A1:E79" xr:uid="{37CD86B4-BDB5-4593-93F6-FC77D2D2C206}">
    <sortState xmlns:xlrd2="http://schemas.microsoft.com/office/spreadsheetml/2017/richdata2" ref="A2:E80">
      <sortCondition sortBy="cellColor" ref="A1:A79" dxfId="11"/>
    </sortState>
  </autoFilter>
  <phoneticPr fontId="26" type="noConversion"/>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BA2D4-9E79-48B1-9B13-7BBD4B01E20F}">
  <sheetPr codeName="Sheet4"/>
  <dimension ref="A1:I5"/>
  <sheetViews>
    <sheetView zoomScaleNormal="100" workbookViewId="0">
      <selection activeCell="E35" sqref="E35"/>
    </sheetView>
  </sheetViews>
  <sheetFormatPr defaultRowHeight="15" x14ac:dyDescent="0.25"/>
  <cols>
    <col min="1" max="1" width="17.5703125" style="5" bestFit="1" customWidth="1"/>
    <col min="2" max="2" width="20.7109375" style="28" bestFit="1" customWidth="1"/>
    <col min="3" max="3" width="11.7109375" style="4" bestFit="1" customWidth="1"/>
    <col min="4" max="4" width="16" style="6" bestFit="1" customWidth="1"/>
    <col min="5" max="5" width="16.42578125" style="5" bestFit="1" customWidth="1"/>
    <col min="6" max="6" width="22.42578125" style="29" bestFit="1" customWidth="1"/>
    <col min="8" max="8" width="16" bestFit="1" customWidth="1"/>
    <col min="9" max="9" width="13.140625" bestFit="1" customWidth="1"/>
  </cols>
  <sheetData>
    <row r="1" spans="1:9" ht="15.75" thickBot="1" x14ac:dyDescent="0.3">
      <c r="A1" s="5"/>
      <c r="B1" s="28"/>
      <c r="C1" s="4"/>
      <c r="D1" s="6"/>
      <c r="E1" s="5"/>
      <c r="F1" s="30"/>
    </row>
    <row r="2" spans="1:9" x14ac:dyDescent="0.25">
      <c r="A2" s="33"/>
      <c r="B2" s="34"/>
      <c r="C2" s="35"/>
      <c r="D2" s="36"/>
      <c r="E2" s="33"/>
      <c r="F2" s="37"/>
      <c r="H2" s="80" t="s">
        <v>73</v>
      </c>
      <c r="I2" s="81"/>
    </row>
    <row r="3" spans="1:9" x14ac:dyDescent="0.25">
      <c r="H3" s="23" t="s">
        <v>74</v>
      </c>
      <c r="I3" s="25">
        <f>SUMIF(D:D,"&gt;"&amp;0,D:D)</f>
        <v>0</v>
      </c>
    </row>
    <row r="4" spans="1:9" x14ac:dyDescent="0.25">
      <c r="H4" s="23" t="s">
        <v>75</v>
      </c>
      <c r="I4" s="26">
        <f>SUMIF(D:D,"&lt;"&amp;0,D:D)</f>
        <v>0</v>
      </c>
    </row>
    <row r="5" spans="1:9" ht="15.75" thickBot="1" x14ac:dyDescent="0.3">
      <c r="H5" s="24" t="s">
        <v>76</v>
      </c>
      <c r="I5" s="27">
        <f>SUM(I3:I4)</f>
        <v>0</v>
      </c>
    </row>
  </sheetData>
  <mergeCells count="1">
    <mergeCell ref="H2:I2"/>
  </mergeCells>
  <conditionalFormatting sqref="I5">
    <cfRule type="cellIs" dxfId="10" priority="3" operator="lessThan">
      <formula>0</formula>
    </cfRule>
    <cfRule type="cellIs" dxfId="9" priority="4" operator="greaterThan">
      <formula>0</formula>
    </cfRule>
  </conditionalFormatting>
  <conditionalFormatting sqref="A1:F1048576">
    <cfRule type="expression" dxfId="8" priority="1">
      <formula>$D1&lt;0</formula>
    </cfRule>
    <cfRule type="expression" dxfId="7" priority="2">
      <formula>$D1&gt;0</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946727-BC6C-4589-AD1B-997BBAA0BF1F}">
  <sheetPr codeName="Sheet1">
    <pageSetUpPr fitToPage="1"/>
  </sheetPr>
  <dimension ref="A1:D105"/>
  <sheetViews>
    <sheetView tabSelected="1" zoomScale="70" zoomScaleNormal="70" workbookViewId="0">
      <selection activeCell="F14" sqref="F14"/>
    </sheetView>
  </sheetViews>
  <sheetFormatPr defaultRowHeight="15.75" x14ac:dyDescent="0.25"/>
  <cols>
    <col min="1" max="1" width="126.28515625" style="7" customWidth="1"/>
    <col min="2" max="2" width="15" style="19" bestFit="1" customWidth="1"/>
    <col min="4" max="4" width="40.5703125" bestFit="1" customWidth="1"/>
  </cols>
  <sheetData>
    <row r="1" spans="1:4" ht="33" customHeight="1" thickBot="1" x14ac:dyDescent="0.3">
      <c r="A1" s="53"/>
      <c r="B1"/>
      <c r="D1" s="45"/>
    </row>
    <row r="2" spans="1:4" ht="20.25" thickBot="1" x14ac:dyDescent="0.3">
      <c r="A2" s="52" t="s">
        <v>43</v>
      </c>
      <c r="B2"/>
      <c r="D2" s="45"/>
    </row>
    <row r="3" spans="1:4" ht="16.5" thickBot="1" x14ac:dyDescent="0.3">
      <c r="A3" s="51" t="s">
        <v>92</v>
      </c>
      <c r="D3" s="45"/>
    </row>
    <row r="4" spans="1:4" ht="16.5" thickBot="1" x14ac:dyDescent="0.3">
      <c r="A4" s="8" t="s">
        <v>93</v>
      </c>
      <c r="D4" s="45"/>
    </row>
    <row r="5" spans="1:4" ht="48.75" thickTop="1" thickBot="1" x14ac:dyDescent="0.3">
      <c r="A5" s="9" t="s">
        <v>30</v>
      </c>
      <c r="D5" s="45"/>
    </row>
    <row r="6" spans="1:4" ht="16.5" thickBot="1" x14ac:dyDescent="0.3">
      <c r="A6" s="47"/>
      <c r="D6" s="45"/>
    </row>
    <row r="7" spans="1:4" ht="16.5" thickBot="1" x14ac:dyDescent="0.3">
      <c r="A7" s="8" t="s">
        <v>94</v>
      </c>
      <c r="D7" s="45"/>
    </row>
    <row r="8" spans="1:4" ht="16.5" thickTop="1" x14ac:dyDescent="0.25">
      <c r="A8" s="11" t="s">
        <v>54</v>
      </c>
      <c r="D8" s="45"/>
    </row>
    <row r="9" spans="1:4" x14ac:dyDescent="0.25">
      <c r="A9" s="11" t="s">
        <v>55</v>
      </c>
      <c r="D9" s="45"/>
    </row>
    <row r="10" spans="1:4" ht="16.5" thickBot="1" x14ac:dyDescent="0.3">
      <c r="A10" s="38"/>
      <c r="D10" s="45"/>
    </row>
    <row r="11" spans="1:4" ht="32.25" thickBot="1" x14ac:dyDescent="0.3">
      <c r="A11" s="42" t="s">
        <v>91</v>
      </c>
      <c r="D11" s="45"/>
    </row>
    <row r="12" spans="1:4" ht="16.5" thickBot="1" x14ac:dyDescent="0.3">
      <c r="A12" s="47"/>
      <c r="B12"/>
    </row>
    <row r="13" spans="1:4" ht="16.5" thickBot="1" x14ac:dyDescent="0.3">
      <c r="A13" s="8" t="s">
        <v>95</v>
      </c>
    </row>
    <row r="14" spans="1:4" ht="48.75" thickTop="1" thickBot="1" x14ac:dyDescent="0.3">
      <c r="A14" s="9" t="s">
        <v>31</v>
      </c>
    </row>
    <row r="15" spans="1:4" ht="16.5" thickBot="1" x14ac:dyDescent="0.3">
      <c r="A15" s="47"/>
    </row>
    <row r="16" spans="1:4" ht="16.5" thickBot="1" x14ac:dyDescent="0.3">
      <c r="A16" s="8" t="s">
        <v>96</v>
      </c>
    </row>
    <row r="17" spans="1:1" ht="32.25" thickTop="1" x14ac:dyDescent="0.25">
      <c r="A17" s="9" t="s">
        <v>65</v>
      </c>
    </row>
    <row r="18" spans="1:1" x14ac:dyDescent="0.25">
      <c r="A18" s="9" t="s">
        <v>66</v>
      </c>
    </row>
    <row r="19" spans="1:1" x14ac:dyDescent="0.25">
      <c r="A19" s="9" t="s">
        <v>67</v>
      </c>
    </row>
    <row r="20" spans="1:1" ht="31.5" x14ac:dyDescent="0.25">
      <c r="A20" s="9" t="s">
        <v>90</v>
      </c>
    </row>
    <row r="21" spans="1:1" x14ac:dyDescent="0.25">
      <c r="A21" s="9" t="s">
        <v>68</v>
      </c>
    </row>
    <row r="22" spans="1:1" ht="31.5" x14ac:dyDescent="0.25">
      <c r="A22" s="9" t="s">
        <v>69</v>
      </c>
    </row>
    <row r="23" spans="1:1" ht="47.25" x14ac:dyDescent="0.25">
      <c r="A23" s="39" t="s">
        <v>89</v>
      </c>
    </row>
    <row r="24" spans="1:1" ht="16.5" thickBot="1" x14ac:dyDescent="0.3">
      <c r="A24" s="9" t="s">
        <v>70</v>
      </c>
    </row>
    <row r="25" spans="1:1" ht="16.5" thickBot="1" x14ac:dyDescent="0.3">
      <c r="A25" s="47"/>
    </row>
    <row r="26" spans="1:1" ht="16.5" thickBot="1" x14ac:dyDescent="0.3">
      <c r="A26" s="8" t="s">
        <v>97</v>
      </c>
    </row>
    <row r="27" spans="1:1" ht="16.5" thickTop="1" x14ac:dyDescent="0.25">
      <c r="A27" s="9" t="s">
        <v>32</v>
      </c>
    </row>
    <row r="28" spans="1:1" x14ac:dyDescent="0.25">
      <c r="A28" s="20" t="s">
        <v>44</v>
      </c>
    </row>
    <row r="29" spans="1:1" x14ac:dyDescent="0.25">
      <c r="A29" s="20" t="s">
        <v>45</v>
      </c>
    </row>
    <row r="30" spans="1:1" x14ac:dyDescent="0.25">
      <c r="A30" s="20" t="s">
        <v>46</v>
      </c>
    </row>
    <row r="31" spans="1:1" x14ac:dyDescent="0.25">
      <c r="A31" s="20" t="s">
        <v>47</v>
      </c>
    </row>
    <row r="32" spans="1:1" x14ac:dyDescent="0.25">
      <c r="A32" s="20" t="s">
        <v>48</v>
      </c>
    </row>
    <row r="33" spans="1:1" x14ac:dyDescent="0.25">
      <c r="A33" s="20" t="s">
        <v>49</v>
      </c>
    </row>
    <row r="34" spans="1:1" x14ac:dyDescent="0.25">
      <c r="A34" s="20" t="s">
        <v>50</v>
      </c>
    </row>
    <row r="35" spans="1:1" x14ac:dyDescent="0.25">
      <c r="A35" s="20" t="s">
        <v>51</v>
      </c>
    </row>
    <row r="36" spans="1:1" ht="16.5" thickBot="1" x14ac:dyDescent="0.3">
      <c r="A36" s="21" t="s">
        <v>52</v>
      </c>
    </row>
    <row r="37" spans="1:1" ht="16.5" thickBot="1" x14ac:dyDescent="0.3">
      <c r="A37" s="47"/>
    </row>
    <row r="38" spans="1:1" ht="17.25" thickBot="1" x14ac:dyDescent="0.3">
      <c r="A38" s="40" t="s">
        <v>98</v>
      </c>
    </row>
    <row r="39" spans="1:1" ht="16.5" thickTop="1" x14ac:dyDescent="0.25">
      <c r="A39" s="12" t="s">
        <v>71</v>
      </c>
    </row>
    <row r="40" spans="1:1" x14ac:dyDescent="0.25">
      <c r="A40" s="13" t="s">
        <v>72</v>
      </c>
    </row>
    <row r="41" spans="1:1" ht="16.5" thickBot="1" x14ac:dyDescent="0.3">
      <c r="A41" s="14" t="s">
        <v>53</v>
      </c>
    </row>
    <row r="42" spans="1:1" ht="16.5" thickBot="1" x14ac:dyDescent="0.3">
      <c r="A42" s="50"/>
    </row>
    <row r="43" spans="1:1" ht="16.5" thickBot="1" x14ac:dyDescent="0.3">
      <c r="A43" s="15" t="s">
        <v>99</v>
      </c>
    </row>
    <row r="44" spans="1:1" ht="16.5" thickTop="1" x14ac:dyDescent="0.25">
      <c r="A44" s="16" t="s">
        <v>33</v>
      </c>
    </row>
    <row r="45" spans="1:1" thickBot="1" x14ac:dyDescent="0.3">
      <c r="A45" s="41" t="s">
        <v>34</v>
      </c>
    </row>
    <row r="46" spans="1:1" ht="16.5" thickTop="1" x14ac:dyDescent="0.25">
      <c r="A46" s="16" t="s">
        <v>56</v>
      </c>
    </row>
    <row r="47" spans="1:1" x14ac:dyDescent="0.25">
      <c r="A47" s="16" t="s">
        <v>57</v>
      </c>
    </row>
    <row r="48" spans="1:1" x14ac:dyDescent="0.25">
      <c r="A48" s="16" t="s">
        <v>58</v>
      </c>
    </row>
    <row r="49" spans="1:2" x14ac:dyDescent="0.25">
      <c r="A49" s="16" t="s">
        <v>59</v>
      </c>
    </row>
    <row r="50" spans="1:2" thickBot="1" x14ac:dyDescent="0.3">
      <c r="A50" s="41" t="s">
        <v>35</v>
      </c>
    </row>
    <row r="51" spans="1:2" ht="16.5" thickTop="1" x14ac:dyDescent="0.25">
      <c r="A51" s="16" t="s">
        <v>60</v>
      </c>
    </row>
    <row r="52" spans="1:2" x14ac:dyDescent="0.25">
      <c r="A52" s="16" t="s">
        <v>61</v>
      </c>
    </row>
    <row r="53" spans="1:2" x14ac:dyDescent="0.25">
      <c r="A53" s="16" t="s">
        <v>62</v>
      </c>
    </row>
    <row r="54" spans="1:2" ht="16.5" thickBot="1" x14ac:dyDescent="0.3">
      <c r="A54" s="17" t="s">
        <v>63</v>
      </c>
    </row>
    <row r="55" spans="1:2" ht="16.5" thickBot="1" x14ac:dyDescent="0.3">
      <c r="A55" s="47"/>
    </row>
    <row r="56" spans="1:2" thickBot="1" x14ac:dyDescent="0.3">
      <c r="A56" s="41" t="s">
        <v>88</v>
      </c>
    </row>
    <row r="57" spans="1:2" ht="30" thickTop="1" thickBot="1" x14ac:dyDescent="0.3">
      <c r="A57" s="41" t="s">
        <v>87</v>
      </c>
    </row>
    <row r="58" spans="1:2" ht="30" thickTop="1" thickBot="1" x14ac:dyDescent="0.3">
      <c r="A58" s="41" t="s">
        <v>86</v>
      </c>
    </row>
    <row r="59" spans="1:2" ht="16.5" thickTop="1" thickBot="1" x14ac:dyDescent="0.3">
      <c r="A59" s="41" t="s">
        <v>85</v>
      </c>
    </row>
    <row r="60" spans="1:2" ht="16.5" thickTop="1" thickBot="1" x14ac:dyDescent="0.3">
      <c r="A60" s="41" t="s">
        <v>84</v>
      </c>
    </row>
    <row r="61" spans="1:2" ht="16.5" thickTop="1" thickBot="1" x14ac:dyDescent="0.3">
      <c r="A61" s="41" t="s">
        <v>83</v>
      </c>
    </row>
    <row r="62" spans="1:2" ht="16.5" thickTop="1" thickBot="1" x14ac:dyDescent="0.3">
      <c r="A62" s="46" t="s">
        <v>82</v>
      </c>
    </row>
    <row r="63" spans="1:2" ht="16.5" thickBot="1" x14ac:dyDescent="0.3">
      <c r="A63" s="49"/>
      <c r="B63"/>
    </row>
    <row r="64" spans="1:2" ht="16.5" thickBot="1" x14ac:dyDescent="0.3">
      <c r="A64" s="8" t="s">
        <v>100</v>
      </c>
    </row>
    <row r="65" spans="1:1" ht="16.5" thickTop="1" x14ac:dyDescent="0.25">
      <c r="A65" s="9" t="s">
        <v>36</v>
      </c>
    </row>
    <row r="66" spans="1:1" ht="31.5" x14ac:dyDescent="0.25">
      <c r="A66" s="39" t="s">
        <v>81</v>
      </c>
    </row>
    <row r="67" spans="1:1" x14ac:dyDescent="0.25">
      <c r="A67" s="9" t="s">
        <v>37</v>
      </c>
    </row>
    <row r="68" spans="1:1" ht="16.5" thickBot="1" x14ac:dyDescent="0.3">
      <c r="A68" s="9" t="s">
        <v>38</v>
      </c>
    </row>
    <row r="69" spans="1:1" ht="16.5" thickBot="1" x14ac:dyDescent="0.3">
      <c r="A69" s="47"/>
    </row>
    <row r="70" spans="1:1" x14ac:dyDescent="0.25">
      <c r="A70" s="10" t="s">
        <v>101</v>
      </c>
    </row>
    <row r="71" spans="1:1" x14ac:dyDescent="0.25">
      <c r="A71" s="18" t="s">
        <v>64</v>
      </c>
    </row>
    <row r="72" spans="1:1" x14ac:dyDescent="0.25">
      <c r="A72" s="18" t="s">
        <v>39</v>
      </c>
    </row>
    <row r="73" spans="1:1" x14ac:dyDescent="0.25">
      <c r="A73" s="18" t="s">
        <v>40</v>
      </c>
    </row>
    <row r="74" spans="1:1" x14ac:dyDescent="0.25">
      <c r="A74" s="18" t="s">
        <v>41</v>
      </c>
    </row>
    <row r="75" spans="1:1" ht="31.5" x14ac:dyDescent="0.25">
      <c r="A75" s="22" t="s">
        <v>42</v>
      </c>
    </row>
    <row r="76" spans="1:1" ht="16.5" thickBot="1" x14ac:dyDescent="0.3">
      <c r="A76" s="22" t="s">
        <v>80</v>
      </c>
    </row>
    <row r="77" spans="1:1" ht="16.5" thickBot="1" x14ac:dyDescent="0.3">
      <c r="A77" s="47"/>
    </row>
    <row r="78" spans="1:1" ht="18" thickBot="1" x14ac:dyDescent="0.3">
      <c r="A78" s="43" t="s">
        <v>102</v>
      </c>
    </row>
    <row r="79" spans="1:1" ht="32.25" thickTop="1" x14ac:dyDescent="0.25">
      <c r="A79" s="39" t="s">
        <v>103</v>
      </c>
    </row>
    <row r="80" spans="1:1" x14ac:dyDescent="0.25">
      <c r="A80" s="39"/>
    </row>
    <row r="81" spans="1:1" thickBot="1" x14ac:dyDescent="0.3">
      <c r="A81" s="44" t="s">
        <v>104</v>
      </c>
    </row>
    <row r="82" spans="1:1" ht="31.5" x14ac:dyDescent="0.25">
      <c r="A82" s="39" t="s">
        <v>105</v>
      </c>
    </row>
    <row r="83" spans="1:1" x14ac:dyDescent="0.25">
      <c r="A83" s="39" t="s">
        <v>106</v>
      </c>
    </row>
    <row r="84" spans="1:1" ht="31.5" x14ac:dyDescent="0.25">
      <c r="A84" s="39" t="s">
        <v>107</v>
      </c>
    </row>
    <row r="85" spans="1:1" ht="31.5" x14ac:dyDescent="0.25">
      <c r="A85" s="39" t="s">
        <v>108</v>
      </c>
    </row>
    <row r="86" spans="1:1" x14ac:dyDescent="0.25">
      <c r="A86" s="39"/>
    </row>
    <row r="87" spans="1:1" thickBot="1" x14ac:dyDescent="0.3">
      <c r="A87" s="44" t="s">
        <v>109</v>
      </c>
    </row>
    <row r="88" spans="1:1" ht="31.5" x14ac:dyDescent="0.25">
      <c r="A88" s="39" t="s">
        <v>110</v>
      </c>
    </row>
    <row r="89" spans="1:1" x14ac:dyDescent="0.25">
      <c r="A89" s="39"/>
    </row>
    <row r="90" spans="1:1" thickBot="1" x14ac:dyDescent="0.3">
      <c r="A90" s="44" t="s">
        <v>111</v>
      </c>
    </row>
    <row r="91" spans="1:1" ht="47.25" x14ac:dyDescent="0.25">
      <c r="A91" s="39" t="s">
        <v>112</v>
      </c>
    </row>
    <row r="92" spans="1:1" x14ac:dyDescent="0.25">
      <c r="A92" s="39"/>
    </row>
    <row r="93" spans="1:1" thickBot="1" x14ac:dyDescent="0.3">
      <c r="A93" s="44" t="s">
        <v>113</v>
      </c>
    </row>
    <row r="94" spans="1:1" ht="31.5" x14ac:dyDescent="0.25">
      <c r="A94" s="39" t="s">
        <v>114</v>
      </c>
    </row>
    <row r="95" spans="1:1" thickBot="1" x14ac:dyDescent="0.3">
      <c r="A95" s="44" t="s">
        <v>115</v>
      </c>
    </row>
    <row r="96" spans="1:1" ht="31.5" x14ac:dyDescent="0.25">
      <c r="A96" s="39" t="s">
        <v>116</v>
      </c>
    </row>
    <row r="97" spans="1:1" thickBot="1" x14ac:dyDescent="0.3">
      <c r="A97" s="44" t="s">
        <v>117</v>
      </c>
    </row>
    <row r="98" spans="1:1" ht="31.5" x14ac:dyDescent="0.25">
      <c r="A98" s="39" t="s">
        <v>118</v>
      </c>
    </row>
    <row r="99" spans="1:1" thickBot="1" x14ac:dyDescent="0.3">
      <c r="A99" s="44" t="s">
        <v>119</v>
      </c>
    </row>
    <row r="100" spans="1:1" ht="31.5" x14ac:dyDescent="0.25">
      <c r="A100" s="39" t="s">
        <v>120</v>
      </c>
    </row>
    <row r="101" spans="1:1" thickBot="1" x14ac:dyDescent="0.3">
      <c r="A101" s="44" t="s">
        <v>121</v>
      </c>
    </row>
    <row r="102" spans="1:1" ht="31.5" x14ac:dyDescent="0.25">
      <c r="A102" s="39" t="s">
        <v>122</v>
      </c>
    </row>
    <row r="103" spans="1:1" thickBot="1" x14ac:dyDescent="0.3">
      <c r="A103" s="44" t="s">
        <v>123</v>
      </c>
    </row>
    <row r="104" spans="1:1" ht="31.5" x14ac:dyDescent="0.25">
      <c r="A104" s="39" t="s">
        <v>124</v>
      </c>
    </row>
    <row r="105" spans="1:1" x14ac:dyDescent="0.25">
      <c r="A105" s="48"/>
    </row>
  </sheetData>
  <pageMargins left="0.7" right="0.7" top="0.75" bottom="0.75" header="0.3" footer="0.3"/>
  <pageSetup paperSize="3" fitToHeight="0" orientation="portrait" horizontalDpi="1200" verticalDpi="1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BBA5B45-406A-4C83-B862-67E123A0C6E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Raw Data</vt:lpstr>
      <vt:lpstr>Clean Statement</vt:lpstr>
      <vt:lpstr>Statements Email List</vt:lpstr>
      <vt:lpstr>Claims</vt:lpstr>
      <vt:lpstr>Instructions</vt:lpstr>
      <vt:lpstr>Instructions!Print_Area</vt:lpstr>
    </vt:vector>
  </TitlesOfParts>
  <Company>GE Appliances, a Haier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Ernst, Ethan  (GE Appliances, Haier)</dc:creator>
  <cp:lastModifiedBy>Ernst, Ethan  (GE Appliances, Haier)</cp:lastModifiedBy>
  <cp:lastPrinted>2026-06-03T18:24:35Z</cp:lastPrinted>
  <dcterms:created xsi:type="dcterms:W3CDTF">2026-04-17T16:34:19Z</dcterms:created>
  <dcterms:modified xsi:type="dcterms:W3CDTF">2026-06-04T15:18:43Z</dcterms:modified>
</cp:coreProperties>
</file>